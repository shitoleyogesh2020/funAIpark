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rberi\Downloads\"/>
    </mc:Choice>
  </mc:AlternateContent>
  <xr:revisionPtr revIDLastSave="0" documentId="13_ncr:1_{A4729779-397C-4366-9778-A935330EA7D1}" xr6:coauthVersionLast="47" xr6:coauthVersionMax="47" xr10:uidLastSave="{00000000-0000-0000-0000-000000000000}"/>
  <bookViews>
    <workbookView xWindow="-110" yWindow="-110" windowWidth="19420" windowHeight="11500" activeTab="4" xr2:uid="{C4EC746F-AC42-4395-B3CF-82C634DB2D03}"/>
  </bookViews>
  <sheets>
    <sheet name="MoM Brand Wise" sheetId="1" r:id="rId1"/>
    <sheet name="Melo" sheetId="3" state="hidden" r:id="rId2"/>
    <sheet name="Sids span" sheetId="4" state="hidden" r:id="rId3"/>
    <sheet name="MoM Manager Wise" sheetId="2" r:id="rId4"/>
    <sheet name="Melo Automated" sheetId="5" r:id="rId5"/>
  </sheets>
  <definedNames>
    <definedName name="_xlnm._FilterDatabase" localSheetId="1" hidden="1">Melo!$A$1:$E$109</definedName>
    <definedName name="_xlnm._FilterDatabase" localSheetId="0" hidden="1">'MoM Brand Wise'!$A$1:$BF$126</definedName>
    <definedName name="_xlnm._FilterDatabase" localSheetId="3" hidden="1">'MoM Manager Wise'!$A$2:$M$6</definedName>
    <definedName name="_xlnm._FilterDatabase" localSheetId="2" hidden="1">'Sids span'!$A$1:$J$42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" i="2" l="1"/>
  <c r="AG5" i="2"/>
  <c r="AG3" i="2"/>
  <c r="AF4" i="2"/>
  <c r="AF5" i="2"/>
  <c r="AF3" i="2"/>
  <c r="X5" i="2"/>
  <c r="X4" i="2"/>
  <c r="X3" i="2"/>
  <c r="W5" i="2"/>
  <c r="W4" i="2"/>
  <c r="W3" i="2"/>
  <c r="Z3" i="2"/>
  <c r="Z4" i="2"/>
  <c r="Z5" i="2"/>
  <c r="AA3" i="2"/>
  <c r="AA4" i="2"/>
  <c r="AA5" i="2"/>
  <c r="X6" i="2" l="1"/>
  <c r="Y5" i="2"/>
  <c r="Y4" i="2"/>
  <c r="W6" i="2"/>
  <c r="Y6" i="2" s="1"/>
  <c r="Y3" i="2"/>
  <c r="AD5" i="2"/>
  <c r="AD4" i="2"/>
  <c r="AD3" i="2"/>
  <c r="AC5" i="2"/>
  <c r="AC4" i="2"/>
  <c r="AC3" i="2"/>
  <c r="AB3" i="2"/>
  <c r="U5" i="2"/>
  <c r="U4" i="2"/>
  <c r="U3" i="2"/>
  <c r="T5" i="2"/>
  <c r="T4" i="2"/>
  <c r="T3" i="2"/>
  <c r="R5" i="2"/>
  <c r="R4" i="2"/>
  <c r="R3" i="2"/>
  <c r="R6" i="2" s="1"/>
  <c r="Q5" i="2"/>
  <c r="Q4" i="2"/>
  <c r="Q3" i="2"/>
  <c r="O5" i="2"/>
  <c r="O4" i="2"/>
  <c r="O3" i="2"/>
  <c r="N5" i="2"/>
  <c r="N4" i="2"/>
  <c r="N3" i="2"/>
  <c r="L5" i="2"/>
  <c r="L4" i="2"/>
  <c r="L3" i="2"/>
  <c r="K5" i="2"/>
  <c r="K4" i="2"/>
  <c r="K3" i="2"/>
  <c r="I5" i="2"/>
  <c r="I4" i="2"/>
  <c r="I3" i="2"/>
  <c r="H5" i="2"/>
  <c r="H4" i="2"/>
  <c r="H3" i="2"/>
  <c r="F5" i="2"/>
  <c r="F4" i="2"/>
  <c r="F3" i="2"/>
  <c r="E5" i="2"/>
  <c r="E4" i="2"/>
  <c r="E3" i="2"/>
  <c r="AD6" i="2"/>
  <c r="C5" i="2"/>
  <c r="C4" i="2"/>
  <c r="C3" i="2"/>
  <c r="B3" i="2"/>
  <c r="B5" i="2"/>
  <c r="B4" i="2"/>
  <c r="T6" i="2"/>
  <c r="BF128" i="1"/>
  <c r="BC76" i="1"/>
  <c r="BD76" i="1"/>
  <c r="BC77" i="1"/>
  <c r="BD77" i="1"/>
  <c r="BC78" i="1"/>
  <c r="BD78" i="1"/>
  <c r="BC79" i="1"/>
  <c r="BD79" i="1"/>
  <c r="BC80" i="1"/>
  <c r="BD80" i="1"/>
  <c r="BC81" i="1"/>
  <c r="BD81" i="1"/>
  <c r="BC82" i="1"/>
  <c r="BD82" i="1"/>
  <c r="BC83" i="1"/>
  <c r="BD83" i="1"/>
  <c r="BC84" i="1"/>
  <c r="BD84" i="1"/>
  <c r="BC85" i="1"/>
  <c r="BD85" i="1"/>
  <c r="BC86" i="1"/>
  <c r="BD86" i="1"/>
  <c r="BC87" i="1"/>
  <c r="BD87" i="1"/>
  <c r="BC88" i="1"/>
  <c r="BD88" i="1"/>
  <c r="BC89" i="1"/>
  <c r="BD89" i="1"/>
  <c r="BC35" i="1"/>
  <c r="BD35" i="1"/>
  <c r="BC36" i="1"/>
  <c r="BD36" i="1"/>
  <c r="BC37" i="1"/>
  <c r="BD37" i="1"/>
  <c r="BC38" i="1"/>
  <c r="BD38" i="1"/>
  <c r="BC39" i="1"/>
  <c r="BD39" i="1"/>
  <c r="BC40" i="1"/>
  <c r="BD40" i="1"/>
  <c r="BC41" i="1"/>
  <c r="BD41" i="1"/>
  <c r="BC42" i="1"/>
  <c r="BD42" i="1"/>
  <c r="BC43" i="1"/>
  <c r="BD43" i="1"/>
  <c r="BC90" i="1"/>
  <c r="BD90" i="1"/>
  <c r="BC91" i="1"/>
  <c r="BD91" i="1"/>
  <c r="BC44" i="1"/>
  <c r="BD44" i="1"/>
  <c r="BD4" i="1"/>
  <c r="BD5" i="1"/>
  <c r="BD6" i="1"/>
  <c r="BD92" i="1"/>
  <c r="BD93" i="1"/>
  <c r="BD94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95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96" i="1"/>
  <c r="BD68" i="1"/>
  <c r="BD97" i="1"/>
  <c r="BD98" i="1"/>
  <c r="BD69" i="1"/>
  <c r="BD70" i="1"/>
  <c r="BD99" i="1"/>
  <c r="BD100" i="1"/>
  <c r="BD101" i="1"/>
  <c r="BD102" i="1"/>
  <c r="BD103" i="1"/>
  <c r="BD71" i="1"/>
  <c r="BD72" i="1"/>
  <c r="BD73" i="1"/>
  <c r="BD104" i="1"/>
  <c r="BD105" i="1"/>
  <c r="BD106" i="1"/>
  <c r="BD107" i="1"/>
  <c r="BD108" i="1"/>
  <c r="BD74" i="1"/>
  <c r="BD109" i="1"/>
  <c r="BD110" i="1"/>
  <c r="BD111" i="1"/>
  <c r="BD75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3" i="1"/>
  <c r="BC4" i="1"/>
  <c r="BC5" i="1"/>
  <c r="BC6" i="1"/>
  <c r="BC92" i="1"/>
  <c r="BC93" i="1"/>
  <c r="BC94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95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96" i="1"/>
  <c r="BC68" i="1"/>
  <c r="BC97" i="1"/>
  <c r="BC98" i="1"/>
  <c r="BC69" i="1"/>
  <c r="BC70" i="1"/>
  <c r="BC99" i="1"/>
  <c r="BC100" i="1"/>
  <c r="BC101" i="1"/>
  <c r="BC102" i="1"/>
  <c r="BC103" i="1"/>
  <c r="BC71" i="1"/>
  <c r="BC72" i="1"/>
  <c r="BC73" i="1"/>
  <c r="BC104" i="1"/>
  <c r="BC105" i="1"/>
  <c r="BC106" i="1"/>
  <c r="BC107" i="1"/>
  <c r="BC108" i="1"/>
  <c r="BC74" i="1"/>
  <c r="BC109" i="1"/>
  <c r="BC110" i="1"/>
  <c r="BC111" i="1"/>
  <c r="BC75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3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35" i="1"/>
  <c r="BB36" i="1"/>
  <c r="BB37" i="1"/>
  <c r="BB38" i="1"/>
  <c r="BB39" i="1"/>
  <c r="BB40" i="1"/>
  <c r="BB41" i="1"/>
  <c r="BB42" i="1"/>
  <c r="BB43" i="1"/>
  <c r="BB90" i="1"/>
  <c r="BB91" i="1"/>
  <c r="BB44" i="1"/>
  <c r="BB4" i="1"/>
  <c r="BB5" i="1"/>
  <c r="BB6" i="1"/>
  <c r="BB92" i="1"/>
  <c r="BB93" i="1"/>
  <c r="BB94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95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96" i="1"/>
  <c r="BB68" i="1"/>
  <c r="BB97" i="1"/>
  <c r="BB98" i="1"/>
  <c r="BB69" i="1"/>
  <c r="BB70" i="1"/>
  <c r="BB99" i="1"/>
  <c r="BB100" i="1"/>
  <c r="BB101" i="1"/>
  <c r="BB102" i="1"/>
  <c r="BB103" i="1"/>
  <c r="BB71" i="1"/>
  <c r="BB72" i="1"/>
  <c r="BB73" i="1"/>
  <c r="BB104" i="1"/>
  <c r="BB105" i="1"/>
  <c r="BB106" i="1"/>
  <c r="BB107" i="1"/>
  <c r="BB108" i="1"/>
  <c r="BB74" i="1"/>
  <c r="BB109" i="1"/>
  <c r="BB110" i="1"/>
  <c r="BB111" i="1"/>
  <c r="BB75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3" i="1"/>
  <c r="AW128" i="1"/>
  <c r="AX128" i="1"/>
  <c r="AY128" i="1"/>
  <c r="BA128" i="1"/>
  <c r="AQ128" i="1"/>
  <c r="AR128" i="1"/>
  <c r="AS128" i="1"/>
  <c r="AT128" i="1"/>
  <c r="AO128" i="1"/>
  <c r="AN128" i="1"/>
  <c r="AM128" i="1"/>
  <c r="AL128" i="1"/>
  <c r="AJ128" i="1"/>
  <c r="AI128" i="1"/>
  <c r="AH128" i="1"/>
  <c r="AE128" i="1"/>
  <c r="AD128" i="1"/>
  <c r="AC128" i="1"/>
  <c r="Z128" i="1"/>
  <c r="Y128" i="1"/>
  <c r="X128" i="1"/>
  <c r="P128" i="1"/>
  <c r="O128" i="1"/>
  <c r="N128" i="1"/>
  <c r="K128" i="1"/>
  <c r="J128" i="1"/>
  <c r="I128" i="1"/>
  <c r="F128" i="1"/>
  <c r="E128" i="1"/>
  <c r="D128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35" i="1"/>
  <c r="AU36" i="1"/>
  <c r="AU37" i="1"/>
  <c r="AU38" i="1"/>
  <c r="AU39" i="1"/>
  <c r="AU40" i="1"/>
  <c r="AU41" i="1"/>
  <c r="AU42" i="1"/>
  <c r="AU43" i="1"/>
  <c r="AU90" i="1"/>
  <c r="AU91" i="1"/>
  <c r="AU44" i="1"/>
  <c r="BD126" i="1"/>
  <c r="BC126" i="1"/>
  <c r="AP61" i="1"/>
  <c r="AP68" i="1"/>
  <c r="AP98" i="1"/>
  <c r="AP100" i="1"/>
  <c r="AP107" i="1"/>
  <c r="AP110" i="1"/>
  <c r="AP125" i="1"/>
  <c r="AP87" i="1"/>
  <c r="AP89" i="1"/>
  <c r="AP40" i="1"/>
  <c r="AP42" i="1"/>
  <c r="AK93" i="1"/>
  <c r="AK94" i="1"/>
  <c r="AK7" i="1"/>
  <c r="AK8" i="1"/>
  <c r="AK17" i="1"/>
  <c r="AK21" i="1"/>
  <c r="AK95" i="1"/>
  <c r="AK27" i="1"/>
  <c r="AK30" i="1"/>
  <c r="AK32" i="1"/>
  <c r="AK33" i="1"/>
  <c r="AK34" i="1"/>
  <c r="AK48" i="1"/>
  <c r="AK50" i="1"/>
  <c r="AK53" i="1"/>
  <c r="AK56" i="1"/>
  <c r="AK57" i="1"/>
  <c r="AK63" i="1"/>
  <c r="AK66" i="1"/>
  <c r="AK96" i="1"/>
  <c r="AK68" i="1"/>
  <c r="AK97" i="1"/>
  <c r="AK98" i="1"/>
  <c r="AK100" i="1"/>
  <c r="AK102" i="1"/>
  <c r="AK104" i="1"/>
  <c r="AK105" i="1"/>
  <c r="AK106" i="1"/>
  <c r="AK107" i="1"/>
  <c r="AK116" i="1"/>
  <c r="AK117" i="1"/>
  <c r="AK118" i="1"/>
  <c r="AK119" i="1"/>
  <c r="AK122" i="1"/>
  <c r="AK123" i="1"/>
  <c r="AK124" i="1"/>
  <c r="AK125" i="1"/>
  <c r="AK81" i="1"/>
  <c r="AK83" i="1"/>
  <c r="AK87" i="1"/>
  <c r="AK88" i="1"/>
  <c r="AK89" i="1"/>
  <c r="AK39" i="1"/>
  <c r="AK40" i="1"/>
  <c r="AK41" i="1"/>
  <c r="AK42" i="1"/>
  <c r="AK9" i="1"/>
  <c r="AK10" i="1"/>
  <c r="AK11" i="1"/>
  <c r="AK12" i="1"/>
  <c r="AK13" i="1"/>
  <c r="AK14" i="1"/>
  <c r="AK22" i="1"/>
  <c r="AK23" i="1"/>
  <c r="AK24" i="1"/>
  <c r="AK25" i="1"/>
  <c r="AK26" i="1"/>
  <c r="AK45" i="1"/>
  <c r="AK46" i="1"/>
  <c r="AK47" i="1"/>
  <c r="AK49" i="1"/>
  <c r="AK58" i="1"/>
  <c r="AK59" i="1"/>
  <c r="AK60" i="1"/>
  <c r="AK61" i="1"/>
  <c r="AK62" i="1"/>
  <c r="AK67" i="1"/>
  <c r="AK69" i="1"/>
  <c r="AK70" i="1"/>
  <c r="AK99" i="1"/>
  <c r="AK101" i="1"/>
  <c r="AK74" i="1"/>
  <c r="AK109" i="1"/>
  <c r="AK110" i="1"/>
  <c r="AK111" i="1"/>
  <c r="AK75" i="1"/>
  <c r="AK79" i="1"/>
  <c r="AK84" i="1"/>
  <c r="AK36" i="1"/>
  <c r="AK90" i="1"/>
  <c r="AK3" i="1"/>
  <c r="AK114" i="1"/>
  <c r="AK80" i="1"/>
  <c r="AZ27" i="1"/>
  <c r="AZ100" i="1"/>
  <c r="AZ101" i="1"/>
  <c r="AZ110" i="1"/>
  <c r="AZ119" i="1"/>
  <c r="AZ121" i="1"/>
  <c r="AZ123" i="1"/>
  <c r="AZ85" i="1"/>
  <c r="AZ86" i="1"/>
  <c r="AZ41" i="1"/>
  <c r="AZ42" i="1"/>
  <c r="AZ126" i="1"/>
  <c r="AZ3" i="1"/>
  <c r="AP4" i="1"/>
  <c r="AP5" i="1"/>
  <c r="AP6" i="1"/>
  <c r="AP92" i="1"/>
  <c r="AP93" i="1"/>
  <c r="AP94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95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2" i="1"/>
  <c r="AP63" i="1"/>
  <c r="AP64" i="1"/>
  <c r="AP65" i="1"/>
  <c r="AP66" i="1"/>
  <c r="AP67" i="1"/>
  <c r="AP96" i="1"/>
  <c r="AP97" i="1"/>
  <c r="AP69" i="1"/>
  <c r="AP70" i="1"/>
  <c r="AP99" i="1"/>
  <c r="AP101" i="1"/>
  <c r="AP102" i="1"/>
  <c r="AP103" i="1"/>
  <c r="AP71" i="1"/>
  <c r="AP72" i="1"/>
  <c r="AP73" i="1"/>
  <c r="AP104" i="1"/>
  <c r="AP105" i="1"/>
  <c r="AP106" i="1"/>
  <c r="AP108" i="1"/>
  <c r="AP74" i="1"/>
  <c r="AP109" i="1"/>
  <c r="AP111" i="1"/>
  <c r="AP75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76" i="1"/>
  <c r="AP77" i="1"/>
  <c r="AP78" i="1"/>
  <c r="AP79" i="1"/>
  <c r="AP80" i="1"/>
  <c r="AP81" i="1"/>
  <c r="AP82" i="1"/>
  <c r="AP83" i="1"/>
  <c r="AP84" i="1"/>
  <c r="AP85" i="1"/>
  <c r="AP86" i="1"/>
  <c r="AP88" i="1"/>
  <c r="AP35" i="1"/>
  <c r="AP36" i="1"/>
  <c r="AP37" i="1"/>
  <c r="AP38" i="1"/>
  <c r="AP39" i="1"/>
  <c r="AP41" i="1"/>
  <c r="AP43" i="1"/>
  <c r="AP90" i="1"/>
  <c r="AP91" i="1"/>
  <c r="AP44" i="1"/>
  <c r="AP126" i="1"/>
  <c r="AP3" i="1"/>
  <c r="AZ4" i="1"/>
  <c r="AZ5" i="1"/>
  <c r="AZ6" i="1"/>
  <c r="AZ92" i="1"/>
  <c r="AZ93" i="1"/>
  <c r="AZ94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95" i="1"/>
  <c r="AZ22" i="1"/>
  <c r="AZ23" i="1"/>
  <c r="AZ24" i="1"/>
  <c r="AZ25" i="1"/>
  <c r="AZ26" i="1"/>
  <c r="AZ28" i="1"/>
  <c r="AZ29" i="1"/>
  <c r="AZ30" i="1"/>
  <c r="AZ31" i="1"/>
  <c r="AZ32" i="1"/>
  <c r="AZ33" i="1"/>
  <c r="AZ3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96" i="1"/>
  <c r="AZ68" i="1"/>
  <c r="AZ97" i="1"/>
  <c r="AZ98" i="1"/>
  <c r="AZ69" i="1"/>
  <c r="AZ70" i="1"/>
  <c r="AZ99" i="1"/>
  <c r="AZ102" i="1"/>
  <c r="AZ103" i="1"/>
  <c r="AZ71" i="1"/>
  <c r="AZ72" i="1"/>
  <c r="AZ73" i="1"/>
  <c r="AZ104" i="1"/>
  <c r="AZ105" i="1"/>
  <c r="AZ106" i="1"/>
  <c r="AZ107" i="1"/>
  <c r="AZ108" i="1"/>
  <c r="AZ74" i="1"/>
  <c r="AZ109" i="1"/>
  <c r="AZ111" i="1"/>
  <c r="AZ75" i="1"/>
  <c r="AZ112" i="1"/>
  <c r="AZ113" i="1"/>
  <c r="AZ114" i="1"/>
  <c r="AZ115" i="1"/>
  <c r="AZ116" i="1"/>
  <c r="AZ117" i="1"/>
  <c r="AZ118" i="1"/>
  <c r="AZ120" i="1"/>
  <c r="AZ122" i="1"/>
  <c r="AZ124" i="1"/>
  <c r="AZ125" i="1"/>
  <c r="AZ76" i="1"/>
  <c r="AZ77" i="1"/>
  <c r="AZ78" i="1"/>
  <c r="AZ79" i="1"/>
  <c r="AZ80" i="1"/>
  <c r="AZ81" i="1"/>
  <c r="AZ82" i="1"/>
  <c r="AZ83" i="1"/>
  <c r="AZ84" i="1"/>
  <c r="AZ87" i="1"/>
  <c r="AZ88" i="1"/>
  <c r="AZ89" i="1"/>
  <c r="AZ35" i="1"/>
  <c r="AZ36" i="1"/>
  <c r="AZ37" i="1"/>
  <c r="AZ38" i="1"/>
  <c r="AZ39" i="1"/>
  <c r="AZ40" i="1"/>
  <c r="AZ43" i="1"/>
  <c r="AZ90" i="1"/>
  <c r="AZ91" i="1"/>
  <c r="AZ44" i="1"/>
  <c r="AK4" i="1"/>
  <c r="AK5" i="1"/>
  <c r="AK6" i="1"/>
  <c r="AK92" i="1"/>
  <c r="AK15" i="1"/>
  <c r="AK16" i="1"/>
  <c r="AK18" i="1"/>
  <c r="AK19" i="1"/>
  <c r="AK20" i="1"/>
  <c r="AK28" i="1"/>
  <c r="AK29" i="1"/>
  <c r="AK31" i="1"/>
  <c r="AK51" i="1"/>
  <c r="AK52" i="1"/>
  <c r="AK54" i="1"/>
  <c r="AK55" i="1"/>
  <c r="AK64" i="1"/>
  <c r="AK65" i="1"/>
  <c r="AK103" i="1"/>
  <c r="AK71" i="1"/>
  <c r="AK72" i="1"/>
  <c r="AK73" i="1"/>
  <c r="AK108" i="1"/>
  <c r="AK112" i="1"/>
  <c r="AK113" i="1"/>
  <c r="AK115" i="1"/>
  <c r="AK120" i="1"/>
  <c r="AK121" i="1"/>
  <c r="AK76" i="1"/>
  <c r="AK77" i="1"/>
  <c r="AK78" i="1"/>
  <c r="AK82" i="1"/>
  <c r="AK85" i="1"/>
  <c r="AK86" i="1"/>
  <c r="AK35" i="1"/>
  <c r="AK37" i="1"/>
  <c r="AK38" i="1"/>
  <c r="AK43" i="1"/>
  <c r="AK91" i="1"/>
  <c r="AK44" i="1"/>
  <c r="AK126" i="1"/>
  <c r="BB126" i="1"/>
  <c r="AE4" i="2" l="1"/>
  <c r="AE5" i="2"/>
  <c r="AH5" i="2"/>
  <c r="AC6" i="2"/>
  <c r="S5" i="2"/>
  <c r="Q6" i="2"/>
  <c r="S6" i="2" s="1"/>
  <c r="P5" i="2"/>
  <c r="V5" i="2"/>
  <c r="P4" i="2"/>
  <c r="AB5" i="2"/>
  <c r="S4" i="2"/>
  <c r="N6" i="2"/>
  <c r="Z6" i="2"/>
  <c r="AB4" i="2"/>
  <c r="V4" i="2"/>
  <c r="O6" i="2"/>
  <c r="P6" i="2" s="1"/>
  <c r="U6" i="2"/>
  <c r="V6" i="2" s="1"/>
  <c r="AE6" i="2"/>
  <c r="AE3" i="2"/>
  <c r="AA6" i="2"/>
  <c r="V3" i="2"/>
  <c r="S3" i="2"/>
  <c r="P3" i="2"/>
  <c r="BE84" i="1"/>
  <c r="BE90" i="1"/>
  <c r="BE85" i="1"/>
  <c r="BE6" i="1"/>
  <c r="BE30" i="1"/>
  <c r="AK128" i="1"/>
  <c r="BE53" i="1"/>
  <c r="BE59" i="1"/>
  <c r="BE88" i="1"/>
  <c r="BE35" i="1"/>
  <c r="BE76" i="1"/>
  <c r="BE43" i="1"/>
  <c r="BE42" i="1"/>
  <c r="BE83" i="1"/>
  <c r="AZ128" i="1"/>
  <c r="BE41" i="1"/>
  <c r="BE89" i="1"/>
  <c r="BE82" i="1"/>
  <c r="BE114" i="1"/>
  <c r="BE72" i="1"/>
  <c r="BE66" i="1"/>
  <c r="BE40" i="1"/>
  <c r="BE81" i="1"/>
  <c r="BE65" i="1"/>
  <c r="BE52" i="1"/>
  <c r="BE103" i="1"/>
  <c r="BE28" i="1"/>
  <c r="BE44" i="1"/>
  <c r="BE39" i="1"/>
  <c r="BE87" i="1"/>
  <c r="BE80" i="1"/>
  <c r="BE64" i="1"/>
  <c r="BE15" i="1"/>
  <c r="BE91" i="1"/>
  <c r="BE38" i="1"/>
  <c r="BE86" i="1"/>
  <c r="BE79" i="1"/>
  <c r="BE29" i="1"/>
  <c r="BE5" i="1"/>
  <c r="BE112" i="1"/>
  <c r="BE51" i="1"/>
  <c r="AP128" i="1"/>
  <c r="BE37" i="1"/>
  <c r="BE78" i="1"/>
  <c r="BE113" i="1"/>
  <c r="BE36" i="1"/>
  <c r="BE77" i="1"/>
  <c r="BE121" i="1"/>
  <c r="BE74" i="1"/>
  <c r="BE70" i="1"/>
  <c r="BE46" i="1"/>
  <c r="BE23" i="1"/>
  <c r="BC128" i="1"/>
  <c r="BE17" i="1"/>
  <c r="BD128" i="1"/>
  <c r="BE111" i="1"/>
  <c r="BE123" i="1"/>
  <c r="BE100" i="1"/>
  <c r="BE27" i="1"/>
  <c r="BE14" i="1"/>
  <c r="BE101" i="1"/>
  <c r="BE49" i="1"/>
  <c r="BE13" i="1"/>
  <c r="BE122" i="1"/>
  <c r="BE115" i="1"/>
  <c r="BE109" i="1"/>
  <c r="BE73" i="1"/>
  <c r="BE67" i="1"/>
  <c r="BE18" i="1"/>
  <c r="BE92" i="1"/>
  <c r="BE119" i="1"/>
  <c r="BE107" i="1"/>
  <c r="BE57" i="1"/>
  <c r="BE95" i="1"/>
  <c r="BB128" i="1"/>
  <c r="BE126" i="1"/>
  <c r="BE8" i="1"/>
  <c r="BE25" i="1"/>
  <c r="BE12" i="1"/>
  <c r="BE60" i="1"/>
  <c r="BE47" i="1"/>
  <c r="BE3" i="1"/>
  <c r="BE4" i="1"/>
  <c r="BE10" i="1"/>
  <c r="BE125" i="1"/>
  <c r="BE75" i="1"/>
  <c r="BE102" i="1"/>
  <c r="BE63" i="1"/>
  <c r="BE50" i="1"/>
  <c r="BE31" i="1"/>
  <c r="BE116" i="1"/>
  <c r="BE104" i="1"/>
  <c r="BE96" i="1"/>
  <c r="BE55" i="1"/>
  <c r="BE32" i="1"/>
  <c r="BE19" i="1"/>
  <c r="BE93" i="1"/>
  <c r="BE99" i="1"/>
  <c r="BE71" i="1"/>
  <c r="BE24" i="1"/>
  <c r="BE62" i="1"/>
  <c r="BE26" i="1"/>
  <c r="BE98" i="1"/>
  <c r="BE54" i="1"/>
  <c r="BE16" i="1"/>
  <c r="BE11" i="1"/>
  <c r="BE110" i="1"/>
  <c r="BE61" i="1"/>
  <c r="BE48" i="1"/>
  <c r="BE118" i="1"/>
  <c r="BE106" i="1"/>
  <c r="BE97" i="1"/>
  <c r="BE56" i="1"/>
  <c r="BE34" i="1"/>
  <c r="BE21" i="1"/>
  <c r="BE7" i="1"/>
  <c r="BE117" i="1"/>
  <c r="BE105" i="1"/>
  <c r="BE68" i="1"/>
  <c r="BE33" i="1"/>
  <c r="BE20" i="1"/>
  <c r="BE94" i="1"/>
  <c r="BE124" i="1"/>
  <c r="BE120" i="1"/>
  <c r="BE108" i="1"/>
  <c r="BE69" i="1"/>
  <c r="BE58" i="1"/>
  <c r="BE45" i="1"/>
  <c r="BE22" i="1"/>
  <c r="BE9" i="1"/>
  <c r="AV92" i="1"/>
  <c r="AV93" i="1"/>
  <c r="AV8" i="1"/>
  <c r="AV11" i="1"/>
  <c r="AV13" i="1"/>
  <c r="AV14" i="1"/>
  <c r="AV17" i="1"/>
  <c r="AV18" i="1"/>
  <c r="AV19" i="1"/>
  <c r="AV21" i="1"/>
  <c r="AV95" i="1"/>
  <c r="AV24" i="1"/>
  <c r="AV26" i="1"/>
  <c r="AV27" i="1"/>
  <c r="AV29" i="1"/>
  <c r="AV31" i="1"/>
  <c r="AV32" i="1"/>
  <c r="AV46" i="1"/>
  <c r="AV48" i="1"/>
  <c r="AV49" i="1"/>
  <c r="AV54" i="1"/>
  <c r="AV55" i="1"/>
  <c r="AV57" i="1"/>
  <c r="AV60" i="1"/>
  <c r="AV61" i="1"/>
  <c r="AV62" i="1"/>
  <c r="AV65" i="1"/>
  <c r="AV67" i="1"/>
  <c r="AV96" i="1"/>
  <c r="AV98" i="1"/>
  <c r="AV101" i="1"/>
  <c r="AV102" i="1"/>
  <c r="AV71" i="1"/>
  <c r="AV73" i="1"/>
  <c r="AV104" i="1"/>
  <c r="AV107" i="1"/>
  <c r="AV111" i="1"/>
  <c r="AV75" i="1"/>
  <c r="AV114" i="1"/>
  <c r="AV116" i="1"/>
  <c r="AV119" i="1"/>
  <c r="AV123" i="1"/>
  <c r="AV124" i="1"/>
  <c r="AU10" i="1"/>
  <c r="AU13" i="1"/>
  <c r="AU14" i="1"/>
  <c r="AU22" i="1"/>
  <c r="AU23" i="1"/>
  <c r="AU26" i="1"/>
  <c r="AU27" i="1"/>
  <c r="AU45" i="1"/>
  <c r="AU46" i="1"/>
  <c r="AU49" i="1"/>
  <c r="AU50" i="1"/>
  <c r="AU57" i="1"/>
  <c r="AU58" i="1"/>
  <c r="AU59" i="1"/>
  <c r="AU62" i="1"/>
  <c r="AU63" i="1"/>
  <c r="AU98" i="1"/>
  <c r="AU69" i="1"/>
  <c r="AU70" i="1"/>
  <c r="AU101" i="1"/>
  <c r="AU102" i="1"/>
  <c r="AU107" i="1"/>
  <c r="AU108" i="1"/>
  <c r="AU74" i="1"/>
  <c r="AU110" i="1"/>
  <c r="AU111" i="1"/>
  <c r="AU75" i="1"/>
  <c r="AU119" i="1"/>
  <c r="AU120" i="1"/>
  <c r="AU121" i="1"/>
  <c r="AU123" i="1"/>
  <c r="AU124" i="1"/>
  <c r="AU125" i="1"/>
  <c r="AU126" i="1"/>
  <c r="AV125" i="1"/>
  <c r="AV122" i="1"/>
  <c r="AU122" i="1"/>
  <c r="AV121" i="1"/>
  <c r="AV120" i="1"/>
  <c r="AV118" i="1"/>
  <c r="AU118" i="1"/>
  <c r="AV117" i="1"/>
  <c r="AU117" i="1"/>
  <c r="AU116" i="1"/>
  <c r="AV115" i="1"/>
  <c r="AU115" i="1"/>
  <c r="AU114" i="1"/>
  <c r="AV113" i="1"/>
  <c r="AU113" i="1"/>
  <c r="AV112" i="1"/>
  <c r="AU112" i="1"/>
  <c r="AV110" i="1"/>
  <c r="AV109" i="1"/>
  <c r="AU109" i="1"/>
  <c r="AV74" i="1"/>
  <c r="AV108" i="1"/>
  <c r="AV106" i="1"/>
  <c r="AU106" i="1"/>
  <c r="AV105" i="1"/>
  <c r="AU105" i="1"/>
  <c r="AU104" i="1"/>
  <c r="AU73" i="1"/>
  <c r="AV72" i="1"/>
  <c r="AU72" i="1"/>
  <c r="AU71" i="1"/>
  <c r="AV103" i="1"/>
  <c r="AU103" i="1"/>
  <c r="AV100" i="1"/>
  <c r="AU100" i="1"/>
  <c r="AV99" i="1"/>
  <c r="AU99" i="1"/>
  <c r="AV70" i="1"/>
  <c r="AV69" i="1"/>
  <c r="AV97" i="1"/>
  <c r="AU97" i="1"/>
  <c r="AV68" i="1"/>
  <c r="AU68" i="1"/>
  <c r="AU96" i="1"/>
  <c r="AU67" i="1"/>
  <c r="AV66" i="1"/>
  <c r="AU66" i="1"/>
  <c r="AU65" i="1"/>
  <c r="AV64" i="1"/>
  <c r="AU64" i="1"/>
  <c r="AV63" i="1"/>
  <c r="AU61" i="1"/>
  <c r="AU60" i="1"/>
  <c r="AV59" i="1"/>
  <c r="AV58" i="1"/>
  <c r="AV56" i="1"/>
  <c r="AU56" i="1"/>
  <c r="AU55" i="1"/>
  <c r="AU54" i="1"/>
  <c r="AV53" i="1"/>
  <c r="AU53" i="1"/>
  <c r="AV52" i="1"/>
  <c r="AU52" i="1"/>
  <c r="AV51" i="1"/>
  <c r="AU51" i="1"/>
  <c r="AV50" i="1"/>
  <c r="AU48" i="1"/>
  <c r="AV47" i="1"/>
  <c r="AU47" i="1"/>
  <c r="AV45" i="1"/>
  <c r="AV34" i="1"/>
  <c r="AU34" i="1"/>
  <c r="AV33" i="1"/>
  <c r="AU33" i="1"/>
  <c r="AU32" i="1"/>
  <c r="AU31" i="1"/>
  <c r="AV30" i="1"/>
  <c r="AU30" i="1"/>
  <c r="AU29" i="1"/>
  <c r="AV28" i="1"/>
  <c r="AU28" i="1"/>
  <c r="AV25" i="1"/>
  <c r="AU25" i="1"/>
  <c r="AU24" i="1"/>
  <c r="AV23" i="1"/>
  <c r="AV22" i="1"/>
  <c r="AU95" i="1"/>
  <c r="AU21" i="1"/>
  <c r="AV20" i="1"/>
  <c r="AU20" i="1"/>
  <c r="AU19" i="1"/>
  <c r="AU18" i="1"/>
  <c r="AU17" i="1"/>
  <c r="AV16" i="1"/>
  <c r="AU16" i="1"/>
  <c r="AV15" i="1"/>
  <c r="AU15" i="1"/>
  <c r="AV12" i="1"/>
  <c r="AU12" i="1"/>
  <c r="AU11" i="1"/>
  <c r="AV10" i="1"/>
  <c r="AV9" i="1"/>
  <c r="AU9" i="1"/>
  <c r="AU8" i="1"/>
  <c r="AV7" i="1"/>
  <c r="AU7" i="1"/>
  <c r="AV94" i="1"/>
  <c r="AU94" i="1"/>
  <c r="AU93" i="1"/>
  <c r="AU92" i="1"/>
  <c r="AV6" i="1"/>
  <c r="AU6" i="1"/>
  <c r="AV5" i="1"/>
  <c r="AU5" i="1"/>
  <c r="AV4" i="1"/>
  <c r="AU4" i="1"/>
  <c r="AH4" i="2" l="1"/>
  <c r="AH3" i="2"/>
  <c r="AG6" i="2"/>
  <c r="AF6" i="2"/>
  <c r="AB6" i="2"/>
  <c r="BE128" i="1"/>
  <c r="AV3" i="1"/>
  <c r="AV128" i="1" s="1"/>
  <c r="AU3" i="1"/>
  <c r="AU128" i="1"/>
  <c r="AF93" i="1"/>
  <c r="AF8" i="1"/>
  <c r="AF9" i="1"/>
  <c r="AF10" i="1"/>
  <c r="AF19" i="1"/>
  <c r="AF95" i="1"/>
  <c r="AF22" i="1"/>
  <c r="AF23" i="1"/>
  <c r="AF27" i="1"/>
  <c r="AF32" i="1"/>
  <c r="AF45" i="1"/>
  <c r="AF46" i="1"/>
  <c r="AF47" i="1"/>
  <c r="AF50" i="1"/>
  <c r="AF55" i="1"/>
  <c r="AF57" i="1"/>
  <c r="AF58" i="1"/>
  <c r="AF59" i="1"/>
  <c r="AF60" i="1"/>
  <c r="AF63" i="1"/>
  <c r="AF96" i="1"/>
  <c r="AF98" i="1"/>
  <c r="AF69" i="1"/>
  <c r="AF70" i="1"/>
  <c r="AF102" i="1"/>
  <c r="AF104" i="1"/>
  <c r="AF107" i="1"/>
  <c r="AF108" i="1"/>
  <c r="AF74" i="1"/>
  <c r="AF75" i="1"/>
  <c r="AF116" i="1"/>
  <c r="AF119" i="1"/>
  <c r="AF120" i="1"/>
  <c r="AF121" i="1"/>
  <c r="AF125" i="1"/>
  <c r="AG126" i="1"/>
  <c r="AF126" i="1"/>
  <c r="AG125" i="1"/>
  <c r="AG124" i="1"/>
  <c r="AF124" i="1"/>
  <c r="AG123" i="1"/>
  <c r="AF123" i="1"/>
  <c r="AG122" i="1"/>
  <c r="AF122" i="1"/>
  <c r="AG121" i="1"/>
  <c r="AG120" i="1"/>
  <c r="AG119" i="1"/>
  <c r="AG118" i="1"/>
  <c r="AF118" i="1"/>
  <c r="AG117" i="1"/>
  <c r="AF117" i="1"/>
  <c r="AG116" i="1"/>
  <c r="AG115" i="1"/>
  <c r="AF115" i="1"/>
  <c r="AG114" i="1"/>
  <c r="AF114" i="1"/>
  <c r="AG113" i="1"/>
  <c r="AF113" i="1"/>
  <c r="AG112" i="1"/>
  <c r="AF112" i="1"/>
  <c r="AG75" i="1"/>
  <c r="AG111" i="1"/>
  <c r="AF111" i="1"/>
  <c r="AG110" i="1"/>
  <c r="AF110" i="1"/>
  <c r="AG109" i="1"/>
  <c r="AF109" i="1"/>
  <c r="AG74" i="1"/>
  <c r="AG108" i="1"/>
  <c r="AG107" i="1"/>
  <c r="AG106" i="1"/>
  <c r="AF106" i="1"/>
  <c r="AG105" i="1"/>
  <c r="AF105" i="1"/>
  <c r="AG104" i="1"/>
  <c r="AG73" i="1"/>
  <c r="AF73" i="1"/>
  <c r="AG72" i="1"/>
  <c r="AF72" i="1"/>
  <c r="AG71" i="1"/>
  <c r="AF71" i="1"/>
  <c r="AG103" i="1"/>
  <c r="AF103" i="1"/>
  <c r="AG102" i="1"/>
  <c r="AG101" i="1"/>
  <c r="AF101" i="1"/>
  <c r="AG100" i="1"/>
  <c r="AF100" i="1"/>
  <c r="AG99" i="1"/>
  <c r="AF99" i="1"/>
  <c r="AG70" i="1"/>
  <c r="AG69" i="1"/>
  <c r="AG98" i="1"/>
  <c r="AG97" i="1"/>
  <c r="AF97" i="1"/>
  <c r="AG68" i="1"/>
  <c r="AF68" i="1"/>
  <c r="AG96" i="1"/>
  <c r="AG67" i="1"/>
  <c r="AF67" i="1"/>
  <c r="AG66" i="1"/>
  <c r="AF66" i="1"/>
  <c r="AG65" i="1"/>
  <c r="AF65" i="1"/>
  <c r="AG64" i="1"/>
  <c r="AF64" i="1"/>
  <c r="AG63" i="1"/>
  <c r="AG62" i="1"/>
  <c r="AF62" i="1"/>
  <c r="AG61" i="1"/>
  <c r="AF61" i="1"/>
  <c r="AG60" i="1"/>
  <c r="AG59" i="1"/>
  <c r="AG58" i="1"/>
  <c r="AG57" i="1"/>
  <c r="AG56" i="1"/>
  <c r="AF56" i="1"/>
  <c r="AG55" i="1"/>
  <c r="AG54" i="1"/>
  <c r="AF54" i="1"/>
  <c r="AG53" i="1"/>
  <c r="AF53" i="1"/>
  <c r="AG52" i="1"/>
  <c r="AF52" i="1"/>
  <c r="AG51" i="1"/>
  <c r="AF51" i="1"/>
  <c r="AG50" i="1"/>
  <c r="AG49" i="1"/>
  <c r="AF49" i="1"/>
  <c r="AG48" i="1"/>
  <c r="AF48" i="1"/>
  <c r="AG47" i="1"/>
  <c r="AG46" i="1"/>
  <c r="AG45" i="1"/>
  <c r="AG34" i="1"/>
  <c r="AF34" i="1"/>
  <c r="AG33" i="1"/>
  <c r="AF33" i="1"/>
  <c r="AG32" i="1"/>
  <c r="AG31" i="1"/>
  <c r="AF31" i="1"/>
  <c r="AG30" i="1"/>
  <c r="AF30" i="1"/>
  <c r="AG29" i="1"/>
  <c r="AF29" i="1"/>
  <c r="AG28" i="1"/>
  <c r="AF28" i="1"/>
  <c r="AG27" i="1"/>
  <c r="AG26" i="1"/>
  <c r="AF26" i="1"/>
  <c r="AG25" i="1"/>
  <c r="AF25" i="1"/>
  <c r="AG24" i="1"/>
  <c r="AF24" i="1"/>
  <c r="AG23" i="1"/>
  <c r="AG22" i="1"/>
  <c r="AG95" i="1"/>
  <c r="AG21" i="1"/>
  <c r="AF21" i="1"/>
  <c r="AG20" i="1"/>
  <c r="AF20" i="1"/>
  <c r="AG19" i="1"/>
  <c r="AG18" i="1"/>
  <c r="AF18" i="1"/>
  <c r="AG17" i="1"/>
  <c r="AF17" i="1"/>
  <c r="AG16" i="1"/>
  <c r="AF16" i="1"/>
  <c r="AG15" i="1"/>
  <c r="AF15" i="1"/>
  <c r="AG14" i="1"/>
  <c r="AF14" i="1"/>
  <c r="AG13" i="1"/>
  <c r="AF13" i="1"/>
  <c r="AG12" i="1"/>
  <c r="AF12" i="1"/>
  <c r="AG11" i="1"/>
  <c r="AF11" i="1"/>
  <c r="AG10" i="1"/>
  <c r="AG9" i="1"/>
  <c r="AG8" i="1"/>
  <c r="AG7" i="1"/>
  <c r="AF7" i="1"/>
  <c r="AG94" i="1"/>
  <c r="AF94" i="1"/>
  <c r="AG93" i="1"/>
  <c r="AG92" i="1"/>
  <c r="AF92" i="1"/>
  <c r="AG6" i="1"/>
  <c r="AF6" i="1"/>
  <c r="AG5" i="1"/>
  <c r="AF5" i="1"/>
  <c r="AG4" i="1"/>
  <c r="AF4" i="1"/>
  <c r="AG3" i="1"/>
  <c r="AA128" i="1"/>
  <c r="AB4" i="1"/>
  <c r="AB5" i="1"/>
  <c r="AB6" i="1"/>
  <c r="AB92" i="1"/>
  <c r="AB93" i="1"/>
  <c r="AB94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95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96" i="1"/>
  <c r="AB68" i="1"/>
  <c r="AB97" i="1"/>
  <c r="AB98" i="1"/>
  <c r="AB69" i="1"/>
  <c r="AB70" i="1"/>
  <c r="AB99" i="1"/>
  <c r="AB100" i="1"/>
  <c r="AB101" i="1"/>
  <c r="AB102" i="1"/>
  <c r="AB103" i="1"/>
  <c r="AB71" i="1"/>
  <c r="AB72" i="1"/>
  <c r="AB73" i="1"/>
  <c r="AB104" i="1"/>
  <c r="AB105" i="1"/>
  <c r="AB106" i="1"/>
  <c r="AB107" i="1"/>
  <c r="AB108" i="1"/>
  <c r="AB74" i="1"/>
  <c r="AB109" i="1"/>
  <c r="AB110" i="1"/>
  <c r="AB111" i="1"/>
  <c r="AB75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3" i="1"/>
  <c r="AA4" i="1"/>
  <c r="AA5" i="1"/>
  <c r="AA6" i="1"/>
  <c r="AA92" i="1"/>
  <c r="AA93" i="1"/>
  <c r="AA94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95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96" i="1"/>
  <c r="AA68" i="1"/>
  <c r="AA97" i="1"/>
  <c r="AA98" i="1"/>
  <c r="AA69" i="1"/>
  <c r="AA70" i="1"/>
  <c r="AA99" i="1"/>
  <c r="AA100" i="1"/>
  <c r="AA101" i="1"/>
  <c r="AA102" i="1"/>
  <c r="AA103" i="1"/>
  <c r="AA71" i="1"/>
  <c r="AA72" i="1"/>
  <c r="AA73" i="1"/>
  <c r="AA104" i="1"/>
  <c r="AA105" i="1"/>
  <c r="AA106" i="1"/>
  <c r="AA107" i="1"/>
  <c r="AA108" i="1"/>
  <c r="AA74" i="1"/>
  <c r="AA109" i="1"/>
  <c r="AA110" i="1"/>
  <c r="AA111" i="1"/>
  <c r="AA75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3" i="1"/>
  <c r="AH6" i="2" l="1"/>
  <c r="AG128" i="1"/>
  <c r="AB128" i="1"/>
  <c r="AF128" i="1"/>
  <c r="AF3" i="1"/>
  <c r="V70" i="1"/>
  <c r="V99" i="1"/>
  <c r="V100" i="1"/>
  <c r="V101" i="1"/>
  <c r="V102" i="1"/>
  <c r="V103" i="1"/>
  <c r="V71" i="1"/>
  <c r="V72" i="1"/>
  <c r="V73" i="1"/>
  <c r="V104" i="1"/>
  <c r="V105" i="1"/>
  <c r="V106" i="1"/>
  <c r="V107" i="1"/>
  <c r="V108" i="1"/>
  <c r="V74" i="1"/>
  <c r="V109" i="1"/>
  <c r="V110" i="1"/>
  <c r="V111" i="1"/>
  <c r="V75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4" i="1"/>
  <c r="V5" i="1"/>
  <c r="V6" i="1"/>
  <c r="V92" i="1"/>
  <c r="V93" i="1"/>
  <c r="V94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95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96" i="1"/>
  <c r="V68" i="1"/>
  <c r="V97" i="1"/>
  <c r="V98" i="1"/>
  <c r="V69" i="1"/>
  <c r="V3" i="1"/>
  <c r="T128" i="1"/>
  <c r="U128" i="1"/>
  <c r="S128" i="1"/>
  <c r="W126" i="1"/>
  <c r="W125" i="1"/>
  <c r="W124" i="1"/>
  <c r="W114" i="1"/>
  <c r="R114" i="1"/>
  <c r="Q114" i="1"/>
  <c r="M114" i="1"/>
  <c r="L114" i="1"/>
  <c r="H114" i="1"/>
  <c r="W106" i="1"/>
  <c r="R106" i="1"/>
  <c r="Q106" i="1"/>
  <c r="M106" i="1"/>
  <c r="L106" i="1"/>
  <c r="H106" i="1"/>
  <c r="G106" i="1"/>
  <c r="W99" i="1"/>
  <c r="R99" i="1"/>
  <c r="Q99" i="1"/>
  <c r="M99" i="1"/>
  <c r="L99" i="1"/>
  <c r="H99" i="1"/>
  <c r="G99" i="1"/>
  <c r="W64" i="1"/>
  <c r="R64" i="1"/>
  <c r="Q64" i="1"/>
  <c r="M64" i="1"/>
  <c r="L64" i="1"/>
  <c r="H64" i="1"/>
  <c r="G64" i="1"/>
  <c r="W55" i="1"/>
  <c r="R55" i="1"/>
  <c r="Q55" i="1"/>
  <c r="M55" i="1"/>
  <c r="L55" i="1"/>
  <c r="H55" i="1"/>
  <c r="G55" i="1"/>
  <c r="W45" i="1"/>
  <c r="R45" i="1"/>
  <c r="Q45" i="1"/>
  <c r="M45" i="1"/>
  <c r="L45" i="1"/>
  <c r="H45" i="1"/>
  <c r="G45" i="1"/>
  <c r="W26" i="1"/>
  <c r="R26" i="1"/>
  <c r="Q26" i="1"/>
  <c r="M26" i="1"/>
  <c r="L26" i="1"/>
  <c r="H26" i="1"/>
  <c r="G26" i="1"/>
  <c r="W17" i="1"/>
  <c r="R17" i="1"/>
  <c r="Q17" i="1"/>
  <c r="M17" i="1"/>
  <c r="L17" i="1"/>
  <c r="H17" i="1"/>
  <c r="G17" i="1"/>
  <c r="W7" i="1"/>
  <c r="R7" i="1"/>
  <c r="Q7" i="1"/>
  <c r="M7" i="1"/>
  <c r="L7" i="1"/>
  <c r="H7" i="1"/>
  <c r="G7" i="1"/>
  <c r="W121" i="1"/>
  <c r="W122" i="1"/>
  <c r="W123" i="1"/>
  <c r="K6" i="2" l="1"/>
  <c r="V128" i="1"/>
  <c r="M4" i="2"/>
  <c r="M5" i="2"/>
  <c r="L6" i="2"/>
  <c r="M3" i="2"/>
  <c r="W120" i="1"/>
  <c r="W119" i="1"/>
  <c r="W118" i="1"/>
  <c r="W117" i="1"/>
  <c r="W116" i="1"/>
  <c r="W115" i="1"/>
  <c r="W113" i="1"/>
  <c r="W112" i="1"/>
  <c r="W75" i="1"/>
  <c r="W111" i="1"/>
  <c r="W110" i="1"/>
  <c r="W109" i="1"/>
  <c r="W74" i="1"/>
  <c r="W108" i="1"/>
  <c r="W107" i="1"/>
  <c r="W105" i="1"/>
  <c r="W104" i="1"/>
  <c r="W73" i="1"/>
  <c r="W72" i="1"/>
  <c r="W71" i="1"/>
  <c r="W103" i="1"/>
  <c r="W102" i="1"/>
  <c r="W101" i="1"/>
  <c r="W100" i="1"/>
  <c r="W69" i="1"/>
  <c r="W98" i="1"/>
  <c r="W97" i="1"/>
  <c r="W68" i="1"/>
  <c r="W96" i="1"/>
  <c r="W67" i="1"/>
  <c r="W66" i="1"/>
  <c r="W65" i="1"/>
  <c r="W63" i="1"/>
  <c r="W62" i="1"/>
  <c r="W61" i="1"/>
  <c r="W60" i="1"/>
  <c r="W59" i="1"/>
  <c r="W58" i="1"/>
  <c r="W57" i="1"/>
  <c r="W56" i="1"/>
  <c r="W54" i="1"/>
  <c r="W53" i="1"/>
  <c r="W52" i="1"/>
  <c r="W51" i="1"/>
  <c r="W50" i="1"/>
  <c r="W49" i="1"/>
  <c r="W48" i="1"/>
  <c r="W47" i="1"/>
  <c r="W46" i="1"/>
  <c r="W34" i="1"/>
  <c r="W33" i="1"/>
  <c r="W32" i="1"/>
  <c r="W31" i="1"/>
  <c r="W30" i="1"/>
  <c r="W29" i="1"/>
  <c r="W28" i="1"/>
  <c r="W27" i="1"/>
  <c r="W25" i="1"/>
  <c r="W24" i="1"/>
  <c r="W23" i="1"/>
  <c r="W22" i="1"/>
  <c r="W95" i="1"/>
  <c r="W21" i="1"/>
  <c r="W20" i="1"/>
  <c r="W19" i="1"/>
  <c r="W18" i="1"/>
  <c r="W16" i="1"/>
  <c r="W15" i="1"/>
  <c r="W14" i="1"/>
  <c r="W13" i="1"/>
  <c r="W12" i="1"/>
  <c r="W11" i="1"/>
  <c r="W10" i="1"/>
  <c r="W9" i="1"/>
  <c r="W8" i="1"/>
  <c r="W94" i="1"/>
  <c r="W93" i="1"/>
  <c r="W92" i="1"/>
  <c r="W6" i="1"/>
  <c r="W5" i="1"/>
  <c r="W4" i="1"/>
  <c r="M6" i="2" l="1"/>
  <c r="W3" i="1"/>
  <c r="W128" i="1" s="1"/>
  <c r="J4" i="2"/>
  <c r="J5" i="2" l="1"/>
  <c r="H6" i="2"/>
  <c r="I6" i="2"/>
  <c r="J3" i="2"/>
  <c r="Q128" i="1"/>
  <c r="R4" i="1"/>
  <c r="R5" i="1"/>
  <c r="R6" i="1"/>
  <c r="R92" i="1"/>
  <c r="R93" i="1"/>
  <c r="R94" i="1"/>
  <c r="R8" i="1"/>
  <c r="R9" i="1"/>
  <c r="R10" i="1"/>
  <c r="R11" i="1"/>
  <c r="R12" i="1"/>
  <c r="R13" i="1"/>
  <c r="R14" i="1"/>
  <c r="R15" i="1"/>
  <c r="R16" i="1"/>
  <c r="R18" i="1"/>
  <c r="R19" i="1"/>
  <c r="R20" i="1"/>
  <c r="R21" i="1"/>
  <c r="R95" i="1"/>
  <c r="R22" i="1"/>
  <c r="R23" i="1"/>
  <c r="R24" i="1"/>
  <c r="R25" i="1"/>
  <c r="R27" i="1"/>
  <c r="R28" i="1"/>
  <c r="R29" i="1"/>
  <c r="R30" i="1"/>
  <c r="R31" i="1"/>
  <c r="R32" i="1"/>
  <c r="R33" i="1"/>
  <c r="R34" i="1"/>
  <c r="R46" i="1"/>
  <c r="R47" i="1"/>
  <c r="R48" i="1"/>
  <c r="R49" i="1"/>
  <c r="R50" i="1"/>
  <c r="R51" i="1"/>
  <c r="R52" i="1"/>
  <c r="R53" i="1"/>
  <c r="R54" i="1"/>
  <c r="R56" i="1"/>
  <c r="R57" i="1"/>
  <c r="R58" i="1"/>
  <c r="R59" i="1"/>
  <c r="R60" i="1"/>
  <c r="R61" i="1"/>
  <c r="R62" i="1"/>
  <c r="R63" i="1"/>
  <c r="R65" i="1"/>
  <c r="R66" i="1"/>
  <c r="R67" i="1"/>
  <c r="R96" i="1"/>
  <c r="R68" i="1"/>
  <c r="R97" i="1"/>
  <c r="R98" i="1"/>
  <c r="R100" i="1"/>
  <c r="R101" i="1"/>
  <c r="R102" i="1"/>
  <c r="R103" i="1"/>
  <c r="R71" i="1"/>
  <c r="R72" i="1"/>
  <c r="R73" i="1"/>
  <c r="R104" i="1"/>
  <c r="R105" i="1"/>
  <c r="R107" i="1"/>
  <c r="R108" i="1"/>
  <c r="R74" i="1"/>
  <c r="R109" i="1"/>
  <c r="R110" i="1"/>
  <c r="R111" i="1"/>
  <c r="R75" i="1"/>
  <c r="R112" i="1"/>
  <c r="R113" i="1"/>
  <c r="R115" i="1"/>
  <c r="R116" i="1"/>
  <c r="R117" i="1"/>
  <c r="R118" i="1"/>
  <c r="R119" i="1"/>
  <c r="R120" i="1"/>
  <c r="R69" i="1"/>
  <c r="R3" i="1"/>
  <c r="Q4" i="1"/>
  <c r="Q5" i="1"/>
  <c r="Q6" i="1"/>
  <c r="Q92" i="1"/>
  <c r="Q93" i="1"/>
  <c r="Q94" i="1"/>
  <c r="Q8" i="1"/>
  <c r="Q9" i="1"/>
  <c r="Q10" i="1"/>
  <c r="Q11" i="1"/>
  <c r="Q12" i="1"/>
  <c r="Q13" i="1"/>
  <c r="Q14" i="1"/>
  <c r="Q15" i="1"/>
  <c r="Q16" i="1"/>
  <c r="Q18" i="1"/>
  <c r="Q19" i="1"/>
  <c r="Q20" i="1"/>
  <c r="Q21" i="1"/>
  <c r="Q95" i="1"/>
  <c r="Q22" i="1"/>
  <c r="Q23" i="1"/>
  <c r="Q24" i="1"/>
  <c r="Q25" i="1"/>
  <c r="Q27" i="1"/>
  <c r="Q28" i="1"/>
  <c r="Q29" i="1"/>
  <c r="Q30" i="1"/>
  <c r="Q31" i="1"/>
  <c r="Q32" i="1"/>
  <c r="Q33" i="1"/>
  <c r="Q34" i="1"/>
  <c r="Q46" i="1"/>
  <c r="Q47" i="1"/>
  <c r="Q48" i="1"/>
  <c r="Q49" i="1"/>
  <c r="Q50" i="1"/>
  <c r="Q51" i="1"/>
  <c r="Q52" i="1"/>
  <c r="Q53" i="1"/>
  <c r="Q54" i="1"/>
  <c r="Q56" i="1"/>
  <c r="Q57" i="1"/>
  <c r="Q58" i="1"/>
  <c r="Q59" i="1"/>
  <c r="Q60" i="1"/>
  <c r="Q61" i="1"/>
  <c r="Q62" i="1"/>
  <c r="Q63" i="1"/>
  <c r="Q65" i="1"/>
  <c r="Q66" i="1"/>
  <c r="Q67" i="1"/>
  <c r="Q96" i="1"/>
  <c r="Q68" i="1"/>
  <c r="Q97" i="1"/>
  <c r="Q98" i="1"/>
  <c r="Q100" i="1"/>
  <c r="Q101" i="1"/>
  <c r="Q102" i="1"/>
  <c r="Q103" i="1"/>
  <c r="Q71" i="1"/>
  <c r="Q72" i="1"/>
  <c r="Q73" i="1"/>
  <c r="Q104" i="1"/>
  <c r="Q105" i="1"/>
  <c r="Q107" i="1"/>
  <c r="Q108" i="1"/>
  <c r="Q74" i="1"/>
  <c r="Q109" i="1"/>
  <c r="Q110" i="1"/>
  <c r="Q111" i="1"/>
  <c r="Q75" i="1"/>
  <c r="Q112" i="1"/>
  <c r="Q113" i="1"/>
  <c r="Q115" i="1"/>
  <c r="Q116" i="1"/>
  <c r="Q117" i="1"/>
  <c r="Q118" i="1"/>
  <c r="Q119" i="1"/>
  <c r="Q120" i="1"/>
  <c r="Q69" i="1"/>
  <c r="Q3" i="1"/>
  <c r="G98" i="1"/>
  <c r="L128" i="1"/>
  <c r="J6" i="2" l="1"/>
  <c r="R128" i="1"/>
  <c r="G128" i="1"/>
  <c r="G5" i="2"/>
  <c r="G4" i="2"/>
  <c r="E6" i="2"/>
  <c r="G3" i="2"/>
  <c r="F6" i="2"/>
  <c r="D4" i="2"/>
  <c r="C6" i="2"/>
  <c r="D3" i="2"/>
  <c r="D5" i="2"/>
  <c r="B6" i="2"/>
  <c r="M4" i="1"/>
  <c r="M5" i="1"/>
  <c r="M6" i="1"/>
  <c r="M92" i="1"/>
  <c r="M93" i="1"/>
  <c r="M94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95" i="1"/>
  <c r="M22" i="1"/>
  <c r="M23" i="1"/>
  <c r="M24" i="1"/>
  <c r="M25" i="1"/>
  <c r="M27" i="1"/>
  <c r="M28" i="1"/>
  <c r="M29" i="1"/>
  <c r="M100" i="1"/>
  <c r="M101" i="1"/>
  <c r="M30" i="1"/>
  <c r="M31" i="1"/>
  <c r="M32" i="1"/>
  <c r="M33" i="1"/>
  <c r="M46" i="1"/>
  <c r="M102" i="1"/>
  <c r="M47" i="1"/>
  <c r="M48" i="1"/>
  <c r="M49" i="1"/>
  <c r="M50" i="1"/>
  <c r="M51" i="1"/>
  <c r="M52" i="1"/>
  <c r="M53" i="1"/>
  <c r="M54" i="1"/>
  <c r="M56" i="1"/>
  <c r="M57" i="1"/>
  <c r="M58" i="1"/>
  <c r="M59" i="1"/>
  <c r="M60" i="1"/>
  <c r="M61" i="1"/>
  <c r="M62" i="1"/>
  <c r="M63" i="1"/>
  <c r="M65" i="1"/>
  <c r="M66" i="1"/>
  <c r="M67" i="1"/>
  <c r="M103" i="1"/>
  <c r="M96" i="1"/>
  <c r="M68" i="1"/>
  <c r="M97" i="1"/>
  <c r="M71" i="1"/>
  <c r="M72" i="1"/>
  <c r="M73" i="1"/>
  <c r="M104" i="1"/>
  <c r="M105" i="1"/>
  <c r="M107" i="1"/>
  <c r="M108" i="1"/>
  <c r="M74" i="1"/>
  <c r="M109" i="1"/>
  <c r="M110" i="1"/>
  <c r="M111" i="1"/>
  <c r="M75" i="1"/>
  <c r="M112" i="1"/>
  <c r="M113" i="1"/>
  <c r="M34" i="1"/>
  <c r="M98" i="1"/>
  <c r="M115" i="1"/>
  <c r="M116" i="1"/>
  <c r="M117" i="1"/>
  <c r="M118" i="1"/>
  <c r="M3" i="1"/>
  <c r="L4" i="1"/>
  <c r="L5" i="1"/>
  <c r="L6" i="1"/>
  <c r="L92" i="1"/>
  <c r="L93" i="1"/>
  <c r="L94" i="1"/>
  <c r="L8" i="1"/>
  <c r="L9" i="1"/>
  <c r="L10" i="1"/>
  <c r="L11" i="1"/>
  <c r="L12" i="1"/>
  <c r="L13" i="1"/>
  <c r="L14" i="1"/>
  <c r="L15" i="1"/>
  <c r="L16" i="1"/>
  <c r="L18" i="1"/>
  <c r="L19" i="1"/>
  <c r="L20" i="1"/>
  <c r="L21" i="1"/>
  <c r="L95" i="1"/>
  <c r="L22" i="1"/>
  <c r="L23" i="1"/>
  <c r="L24" i="1"/>
  <c r="L25" i="1"/>
  <c r="L27" i="1"/>
  <c r="L28" i="1"/>
  <c r="L29" i="1"/>
  <c r="L100" i="1"/>
  <c r="L30" i="1"/>
  <c r="L31" i="1"/>
  <c r="L32" i="1"/>
  <c r="L33" i="1"/>
  <c r="L46" i="1"/>
  <c r="L102" i="1"/>
  <c r="L47" i="1"/>
  <c r="L48" i="1"/>
  <c r="L49" i="1"/>
  <c r="L50" i="1"/>
  <c r="L51" i="1"/>
  <c r="L52" i="1"/>
  <c r="L53" i="1"/>
  <c r="L54" i="1"/>
  <c r="L56" i="1"/>
  <c r="L57" i="1"/>
  <c r="L58" i="1"/>
  <c r="L59" i="1"/>
  <c r="L60" i="1"/>
  <c r="L61" i="1"/>
  <c r="L62" i="1"/>
  <c r="L63" i="1"/>
  <c r="L65" i="1"/>
  <c r="L66" i="1"/>
  <c r="L67" i="1"/>
  <c r="L103" i="1"/>
  <c r="L96" i="1"/>
  <c r="L68" i="1"/>
  <c r="L97" i="1"/>
  <c r="L71" i="1"/>
  <c r="L73" i="1"/>
  <c r="L105" i="1"/>
  <c r="L108" i="1"/>
  <c r="L109" i="1"/>
  <c r="L110" i="1"/>
  <c r="L111" i="1"/>
  <c r="L75" i="1"/>
  <c r="L112" i="1"/>
  <c r="L113" i="1"/>
  <c r="L34" i="1"/>
  <c r="L98" i="1"/>
  <c r="L115" i="1"/>
  <c r="L116" i="1"/>
  <c r="L117" i="1"/>
  <c r="L118" i="1"/>
  <c r="L3" i="1"/>
  <c r="H4" i="1"/>
  <c r="H5" i="1"/>
  <c r="H6" i="1"/>
  <c r="H92" i="1"/>
  <c r="H93" i="1"/>
  <c r="H94" i="1"/>
  <c r="H8" i="1"/>
  <c r="H9" i="1"/>
  <c r="H10" i="1"/>
  <c r="H11" i="1"/>
  <c r="H12" i="1"/>
  <c r="H13" i="1"/>
  <c r="H14" i="1"/>
  <c r="H15" i="1"/>
  <c r="H16" i="1"/>
  <c r="H18" i="1"/>
  <c r="H19" i="1"/>
  <c r="H20" i="1"/>
  <c r="H21" i="1"/>
  <c r="H95" i="1"/>
  <c r="H22" i="1"/>
  <c r="H23" i="1"/>
  <c r="H24" i="1"/>
  <c r="H25" i="1"/>
  <c r="H27" i="1"/>
  <c r="H28" i="1"/>
  <c r="H29" i="1"/>
  <c r="H100" i="1"/>
  <c r="H101" i="1"/>
  <c r="H30" i="1"/>
  <c r="H31" i="1"/>
  <c r="H32" i="1"/>
  <c r="H33" i="1"/>
  <c r="H46" i="1"/>
  <c r="H102" i="1"/>
  <c r="H47" i="1"/>
  <c r="H48" i="1"/>
  <c r="H49" i="1"/>
  <c r="H50" i="1"/>
  <c r="H51" i="1"/>
  <c r="H52" i="1"/>
  <c r="H53" i="1"/>
  <c r="H54" i="1"/>
  <c r="H56" i="1"/>
  <c r="H57" i="1"/>
  <c r="H58" i="1"/>
  <c r="H59" i="1"/>
  <c r="H60" i="1"/>
  <c r="H61" i="1"/>
  <c r="H62" i="1"/>
  <c r="H63" i="1"/>
  <c r="H65" i="1"/>
  <c r="H66" i="1"/>
  <c r="H67" i="1"/>
  <c r="H103" i="1"/>
  <c r="H96" i="1"/>
  <c r="H68" i="1"/>
  <c r="H97" i="1"/>
  <c r="H71" i="1"/>
  <c r="H72" i="1"/>
  <c r="H73" i="1"/>
  <c r="H104" i="1"/>
  <c r="H105" i="1"/>
  <c r="H107" i="1"/>
  <c r="H108" i="1"/>
  <c r="H74" i="1"/>
  <c r="H109" i="1"/>
  <c r="H110" i="1"/>
  <c r="H111" i="1"/>
  <c r="H75" i="1"/>
  <c r="H112" i="1"/>
  <c r="H113" i="1"/>
  <c r="H34" i="1"/>
  <c r="H98" i="1"/>
  <c r="H115" i="1"/>
  <c r="H116" i="1"/>
  <c r="H117" i="1"/>
  <c r="H118" i="1"/>
  <c r="H3" i="1"/>
  <c r="G4" i="1"/>
  <c r="G5" i="1"/>
  <c r="G6" i="1"/>
  <c r="G92" i="1"/>
  <c r="G93" i="1"/>
  <c r="G94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95" i="1"/>
  <c r="G22" i="1"/>
  <c r="G23" i="1"/>
  <c r="G24" i="1"/>
  <c r="G25" i="1"/>
  <c r="G27" i="1"/>
  <c r="G28" i="1"/>
  <c r="G29" i="1"/>
  <c r="G100" i="1"/>
  <c r="G101" i="1"/>
  <c r="G30" i="1"/>
  <c r="G31" i="1"/>
  <c r="G32" i="1"/>
  <c r="G33" i="1"/>
  <c r="G46" i="1"/>
  <c r="G102" i="1"/>
  <c r="G47" i="1"/>
  <c r="G48" i="1"/>
  <c r="G49" i="1"/>
  <c r="G50" i="1"/>
  <c r="G51" i="1"/>
  <c r="G52" i="1"/>
  <c r="G53" i="1"/>
  <c r="G54" i="1"/>
  <c r="G56" i="1"/>
  <c r="G57" i="1"/>
  <c r="G58" i="1"/>
  <c r="G59" i="1"/>
  <c r="G60" i="1"/>
  <c r="G61" i="1"/>
  <c r="G62" i="1"/>
  <c r="G63" i="1"/>
  <c r="G65" i="1"/>
  <c r="G66" i="1"/>
  <c r="G67" i="1"/>
  <c r="G103" i="1"/>
  <c r="G96" i="1"/>
  <c r="G68" i="1"/>
  <c r="G97" i="1"/>
  <c r="G71" i="1"/>
  <c r="G72" i="1"/>
  <c r="G73" i="1"/>
  <c r="G104" i="1"/>
  <c r="G105" i="1"/>
  <c r="G107" i="1"/>
  <c r="G108" i="1"/>
  <c r="G74" i="1"/>
  <c r="G109" i="1"/>
  <c r="G110" i="1"/>
  <c r="G111" i="1"/>
  <c r="G75" i="1"/>
  <c r="G112" i="1"/>
  <c r="G113" i="1"/>
  <c r="G3" i="1"/>
  <c r="H128" i="1" l="1"/>
  <c r="M128" i="1"/>
  <c r="G6" i="2"/>
  <c r="D6" i="2"/>
</calcChain>
</file>

<file path=xl/sharedStrings.xml><?xml version="1.0" encoding="utf-8"?>
<sst xmlns="http://schemas.openxmlformats.org/spreadsheetml/2006/main" count="1002" uniqueCount="348">
  <si>
    <t>Brand ID</t>
  </si>
  <si>
    <t>Brand Name</t>
  </si>
  <si>
    <t>Manager</t>
  </si>
  <si>
    <t>ISW +WTS + Influencer+LLM Audit Counts</t>
  </si>
  <si>
    <t>Makers TP Counts</t>
  </si>
  <si>
    <t>Suppression Count</t>
  </si>
  <si>
    <t>Precision %</t>
  </si>
  <si>
    <t>Variance</t>
  </si>
  <si>
    <t>Jan'25</t>
  </si>
  <si>
    <t>Feb'25</t>
  </si>
  <si>
    <t>MagSafe</t>
  </si>
  <si>
    <t>Siddharth</t>
  </si>
  <si>
    <t>Bronco</t>
  </si>
  <si>
    <t xml:space="preserve">NOI/Escalation </t>
  </si>
  <si>
    <t>Lightning</t>
  </si>
  <si>
    <t>Porsche</t>
  </si>
  <si>
    <t>MINI</t>
  </si>
  <si>
    <t>Sky</t>
  </si>
  <si>
    <t>KÄFER</t>
  </si>
  <si>
    <t>F-150</t>
  </si>
  <si>
    <t>Apple</t>
  </si>
  <si>
    <t>Chevrolet</t>
  </si>
  <si>
    <t>SWOOSH</t>
  </si>
  <si>
    <t>BULLI</t>
  </si>
  <si>
    <t>M</t>
  </si>
  <si>
    <t>Apple WATCH</t>
  </si>
  <si>
    <t>VOLKSWAGEN</t>
  </si>
  <si>
    <t>JUMPMAN</t>
  </si>
  <si>
    <t>Mercedes-Benz</t>
  </si>
  <si>
    <t>AIR JORDAN</t>
  </si>
  <si>
    <t>Cadillac</t>
  </si>
  <si>
    <t>FORD</t>
  </si>
  <si>
    <t>iPhone</t>
  </si>
  <si>
    <t>CARTIER</t>
  </si>
  <si>
    <t>JEEP</t>
  </si>
  <si>
    <t>Skoda</t>
  </si>
  <si>
    <t>S LINE</t>
  </si>
  <si>
    <t>K I</t>
  </si>
  <si>
    <t>Xiaomi</t>
  </si>
  <si>
    <t>AirPods</t>
  </si>
  <si>
    <t>BMW</t>
  </si>
  <si>
    <t>JUST DO IT</t>
  </si>
  <si>
    <t>AUDI</t>
  </si>
  <si>
    <t>NIKE</t>
  </si>
  <si>
    <t>DSG</t>
  </si>
  <si>
    <t>BEETLE</t>
  </si>
  <si>
    <t>Canon</t>
  </si>
  <si>
    <t>Van Cleef &amp; Arpels</t>
  </si>
  <si>
    <t>VW</t>
  </si>
  <si>
    <t>Office</t>
  </si>
  <si>
    <t>Louboutin</t>
  </si>
  <si>
    <t>Purnima</t>
  </si>
  <si>
    <t>MARTIN</t>
  </si>
  <si>
    <t>DR.MARTENS</t>
  </si>
  <si>
    <t>Dual shock</t>
  </si>
  <si>
    <t>CHANEL</t>
  </si>
  <si>
    <t>Birkin</t>
  </si>
  <si>
    <t>Playstation</t>
  </si>
  <si>
    <t>Gucci</t>
  </si>
  <si>
    <t>Kelly</t>
  </si>
  <si>
    <t>TOYOTA</t>
  </si>
  <si>
    <t>ADIDAS</t>
  </si>
  <si>
    <t>Nintendo</t>
  </si>
  <si>
    <t>MONCLER</t>
  </si>
  <si>
    <t>Christian Louboutin</t>
  </si>
  <si>
    <t>Louis Vuitton</t>
  </si>
  <si>
    <t>Bottega Veneta</t>
  </si>
  <si>
    <t>Yeezy</t>
  </si>
  <si>
    <t>CC</t>
  </si>
  <si>
    <t>TWILLY</t>
  </si>
  <si>
    <t>GILLETTE</t>
  </si>
  <si>
    <t>Dualsense</t>
  </si>
  <si>
    <t>Hermès</t>
  </si>
  <si>
    <t>RAM</t>
  </si>
  <si>
    <t>Prada</t>
  </si>
  <si>
    <t>Philips</t>
  </si>
  <si>
    <t>Tiffany Blue</t>
  </si>
  <si>
    <t>N°5</t>
  </si>
  <si>
    <t>ORAL-B</t>
  </si>
  <si>
    <t>SONICARE</t>
  </si>
  <si>
    <t>AVENT</t>
  </si>
  <si>
    <t>Celine</t>
  </si>
  <si>
    <t>Marc Jacobs</t>
  </si>
  <si>
    <t>LOEWE</t>
  </si>
  <si>
    <t>GTI</t>
  </si>
  <si>
    <t>Crocs</t>
  </si>
  <si>
    <t>LONGCHAMP</t>
  </si>
  <si>
    <t>GOLF</t>
  </si>
  <si>
    <t>HONDA</t>
  </si>
  <si>
    <t>FENDI</t>
  </si>
  <si>
    <t>VANS</t>
  </si>
  <si>
    <t>GG</t>
  </si>
  <si>
    <t>MERCURIAL SUPERFLY</t>
  </si>
  <si>
    <t>Dior</t>
  </si>
  <si>
    <t>MICHAEL KORS</t>
  </si>
  <si>
    <t>Jibbitz</t>
  </si>
  <si>
    <t>MICROSOFT</t>
  </si>
  <si>
    <t>Hewlett Packard</t>
  </si>
  <si>
    <t>EarPods</t>
  </si>
  <si>
    <t>VAG</t>
  </si>
  <si>
    <t>LEBRON</t>
  </si>
  <si>
    <t>MUSTANG</t>
  </si>
  <si>
    <t>RAPTOR</t>
  </si>
  <si>
    <t>total</t>
  </si>
  <si>
    <t>Total Audit Count</t>
  </si>
  <si>
    <t>Grand Total</t>
  </si>
  <si>
    <t>Maserati</t>
  </si>
  <si>
    <t>AUTOCOM</t>
  </si>
  <si>
    <t>Dualshock (PS4)</t>
  </si>
  <si>
    <t>Mar'25</t>
  </si>
  <si>
    <t>Swarovski</t>
  </si>
  <si>
    <t>Carolina Herrera</t>
  </si>
  <si>
    <t>NEW BALANCE</t>
  </si>
  <si>
    <t>Tommy Hilfiger</t>
  </si>
  <si>
    <t>VAS</t>
  </si>
  <si>
    <t>Supreme</t>
  </si>
  <si>
    <t>Apr'25</t>
  </si>
  <si>
    <t>May'25</t>
  </si>
  <si>
    <t>Jun'25</t>
  </si>
  <si>
    <t>Sept'25</t>
  </si>
  <si>
    <t>Overall'25</t>
  </si>
  <si>
    <t>Red Flags</t>
  </si>
  <si>
    <t>NOI/Escalation</t>
  </si>
  <si>
    <t>AIR</t>
  </si>
  <si>
    <t>AIR FLIGHT</t>
  </si>
  <si>
    <t>AIR FORCE 1</t>
  </si>
  <si>
    <t>AIR FORCE I</t>
  </si>
  <si>
    <t>AIR MAX</t>
  </si>
  <si>
    <t>DUNK</t>
  </si>
  <si>
    <t>MERCURIAL</t>
  </si>
  <si>
    <t>NIKE AIR</t>
  </si>
  <si>
    <t>NIKE AIR VAPORMAX</t>
  </si>
  <si>
    <t>APPLE</t>
  </si>
  <si>
    <t>DAIMLER AG</t>
  </si>
  <si>
    <t>Nike</t>
  </si>
  <si>
    <t>General Motors</t>
  </si>
  <si>
    <t>FIAT</t>
  </si>
  <si>
    <t>Ford</t>
  </si>
  <si>
    <t>Richemont</t>
  </si>
  <si>
    <t>Parent Brand</t>
  </si>
  <si>
    <t>total brands</t>
  </si>
  <si>
    <t>High Priority</t>
  </si>
  <si>
    <t>Medium Priority</t>
  </si>
  <si>
    <t>Low Priority</t>
  </si>
  <si>
    <t>post 30th Nov Sids span</t>
  </si>
  <si>
    <t>Ben</t>
  </si>
  <si>
    <t>suffle</t>
  </si>
  <si>
    <t>Jul'25</t>
  </si>
  <si>
    <t>Aug'25</t>
  </si>
  <si>
    <t>Oct'25</t>
  </si>
  <si>
    <t>BURBERRY</t>
  </si>
  <si>
    <t>Twilly D'hermes</t>
  </si>
  <si>
    <t>HERMÈS PARIS</t>
  </si>
  <si>
    <t>H</t>
  </si>
  <si>
    <t>BAGUETTE</t>
  </si>
  <si>
    <t>TIFFANY &amp; CO.</t>
  </si>
  <si>
    <t>Givenchy</t>
  </si>
  <si>
    <t>BVLGARI</t>
  </si>
  <si>
    <t>BVLGARI SERPENTI</t>
  </si>
  <si>
    <t>SERPENTI</t>
  </si>
  <si>
    <t>Hublot</t>
  </si>
  <si>
    <t>TAG Heuer</t>
  </si>
  <si>
    <t>Kenzo</t>
  </si>
  <si>
    <t>Berluti</t>
  </si>
  <si>
    <t>SALVATORE FERRAGAMO</t>
  </si>
  <si>
    <t>V</t>
  </si>
  <si>
    <t>Skims</t>
  </si>
  <si>
    <t>Sep'25</t>
  </si>
  <si>
    <t>protected_brand_id</t>
  </si>
  <si>
    <t>protected_brand_name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</si>
  <si>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</si>
  <si>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</si>
  <si>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</si>
  <si>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</si>
  <si>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</si>
  <si>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</si>
  <si>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</si>
  <si>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</si>
  <si>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</si>
  <si>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</si>
  <si>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</si>
  <si>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SKIMS</t>
  </si>
  <si>
    <t>adidas</t>
  </si>
  <si>
    <t>Toyota</t>
  </si>
  <si>
    <t>Mercedes Benz</t>
  </si>
  <si>
    <t>Jeep</t>
  </si>
  <si>
    <t>NISSAN</t>
  </si>
  <si>
    <t>Chanel</t>
  </si>
  <si>
    <t>Audi</t>
  </si>
  <si>
    <t>The North face</t>
  </si>
  <si>
    <t>HYUNDAI</t>
  </si>
  <si>
    <t>SUBARU</t>
  </si>
  <si>
    <t>Dr. Martens</t>
  </si>
  <si>
    <t>FLYKNIT</t>
  </si>
  <si>
    <t>Chrysler</t>
  </si>
  <si>
    <t>iPad</t>
  </si>
  <si>
    <t>MacBook</t>
  </si>
  <si>
    <t>Calvin Klein</t>
  </si>
  <si>
    <t>Alfa Romeo</t>
  </si>
  <si>
    <t>DODGE</t>
  </si>
  <si>
    <t>Ray-Ban</t>
  </si>
  <si>
    <t>Moncler</t>
  </si>
  <si>
    <t>TISSOT</t>
  </si>
  <si>
    <t>PHILIPS</t>
  </si>
  <si>
    <t>GUCCI</t>
  </si>
  <si>
    <t>Lacoste</t>
  </si>
  <si>
    <t>BIRKENSTOCK</t>
  </si>
  <si>
    <t>Vans</t>
  </si>
  <si>
    <t>Microsoft</t>
  </si>
  <si>
    <t>YEEZY</t>
  </si>
  <si>
    <t>Cartier</t>
  </si>
  <si>
    <t>GMC</t>
  </si>
  <si>
    <t>New Balance</t>
  </si>
  <si>
    <t>PRADA</t>
  </si>
  <si>
    <t>Tiffany</t>
  </si>
  <si>
    <t>TIGUAN</t>
  </si>
  <si>
    <t>OAKLEY</t>
  </si>
  <si>
    <t>DRI-FIT</t>
  </si>
  <si>
    <t>KELLY</t>
  </si>
  <si>
    <t>MINI COOPER</t>
  </si>
  <si>
    <t>Touran</t>
  </si>
  <si>
    <t>Under Armour</t>
  </si>
  <si>
    <t>ACDelco</t>
  </si>
  <si>
    <t>Jetta</t>
  </si>
  <si>
    <t>Gillette</t>
  </si>
  <si>
    <t>Beats</t>
  </si>
  <si>
    <t>Passat</t>
  </si>
  <si>
    <t>AVIATOR</t>
  </si>
  <si>
    <t>WAYFARER</t>
  </si>
  <si>
    <t>TOUAREG</t>
  </si>
  <si>
    <t>Bulli</t>
  </si>
  <si>
    <t>Oral-B</t>
  </si>
  <si>
    <t>Champion</t>
  </si>
  <si>
    <t>BIRKIN</t>
  </si>
  <si>
    <t>Casio</t>
  </si>
  <si>
    <t>UGG</t>
  </si>
  <si>
    <t>Vento</t>
  </si>
  <si>
    <t>4Motion</t>
  </si>
  <si>
    <t>T-ROC</t>
  </si>
  <si>
    <t>Salvatore Ferragamo</t>
  </si>
  <si>
    <t>HEWLETT PACKARD</t>
  </si>
  <si>
    <t>Multivan</t>
  </si>
  <si>
    <t>ARTEON</t>
  </si>
  <si>
    <t>Longchamp</t>
  </si>
  <si>
    <t>HYPERWARM</t>
  </si>
  <si>
    <t>Sharan</t>
  </si>
  <si>
    <t>BMW MOTORSPORT</t>
  </si>
  <si>
    <t>DUALSENSE</t>
  </si>
  <si>
    <t>Bora</t>
  </si>
  <si>
    <t>DUAL SHOCK</t>
  </si>
  <si>
    <t>Santana</t>
  </si>
  <si>
    <t>R-Line</t>
  </si>
  <si>
    <t>Philips Sonicare</t>
  </si>
  <si>
    <t>Rf</t>
  </si>
  <si>
    <t>Raptor</t>
  </si>
  <si>
    <t>CAROLINA HERRERA</t>
  </si>
  <si>
    <t>PORSCHE STUTTGART</t>
  </si>
  <si>
    <t>Mustang</t>
  </si>
  <si>
    <t>FoMoCo</t>
  </si>
  <si>
    <t>Crafter</t>
  </si>
  <si>
    <t>日産</t>
  </si>
  <si>
    <t>CLUBMASTER</t>
  </si>
  <si>
    <t>BMW M</t>
  </si>
  <si>
    <t>LeBron</t>
  </si>
  <si>
    <t>VOMERO</t>
  </si>
  <si>
    <t>LE PLIAGE</t>
  </si>
  <si>
    <t>F-250</t>
  </si>
  <si>
    <t>Swatch</t>
  </si>
  <si>
    <t>ACG</t>
  </si>
  <si>
    <t>Just Do It</t>
  </si>
  <si>
    <t>Ranger</t>
  </si>
  <si>
    <t>M PERFORMANCE</t>
  </si>
  <si>
    <t>paco rabanne</t>
  </si>
  <si>
    <t>FOX</t>
  </si>
  <si>
    <t>Motorcraft</t>
  </si>
  <si>
    <t>INVICTUS</t>
  </si>
  <si>
    <t>SCIROCCO</t>
  </si>
  <si>
    <t>GOL</t>
  </si>
  <si>
    <t>Lupo</t>
  </si>
  <si>
    <t>LINCOLN</t>
  </si>
  <si>
    <t>TSI</t>
  </si>
  <si>
    <t>POLO</t>
  </si>
  <si>
    <t>LAMANDO</t>
  </si>
  <si>
    <t>Caravelle</t>
  </si>
  <si>
    <t>Amarok</t>
  </si>
  <si>
    <t>NIKE VAPOR</t>
  </si>
  <si>
    <t>R</t>
  </si>
  <si>
    <t>iPod</t>
  </si>
  <si>
    <t>EOS</t>
  </si>
  <si>
    <t>Nike Golf</t>
  </si>
  <si>
    <t>Syncro</t>
  </si>
  <si>
    <t>BMW Motorrad</t>
  </si>
  <si>
    <t>FLYWIRE</t>
  </si>
  <si>
    <t>BMW GROUP</t>
  </si>
  <si>
    <t>Infiniti</t>
  </si>
  <si>
    <t>F-350</t>
  </si>
  <si>
    <t>THERMA-FIT</t>
  </si>
  <si>
    <t>CADDY</t>
  </si>
  <si>
    <t>FLIGHT</t>
  </si>
  <si>
    <t>LAVIDA</t>
  </si>
  <si>
    <t>PHAETON</t>
  </si>
  <si>
    <t>1 MILLION</t>
  </si>
  <si>
    <t>RNS</t>
  </si>
  <si>
    <t>COCCINELLE</t>
  </si>
  <si>
    <t>METCON</t>
  </si>
  <si>
    <t>BLUEMOTION</t>
  </si>
  <si>
    <t>B M W</t>
  </si>
  <si>
    <t>LOUBOUTIN</t>
  </si>
  <si>
    <t>TIEMPO</t>
  </si>
  <si>
    <t>Beetle</t>
  </si>
  <si>
    <t>XL1</t>
  </si>
  <si>
    <t>LUNARLON</t>
  </si>
  <si>
    <t>SURFACE</t>
  </si>
  <si>
    <t>NIKE SHOX</t>
  </si>
  <si>
    <t>PHANTOM PACO RABANNE</t>
  </si>
  <si>
    <t>STORM-FIT</t>
  </si>
  <si>
    <t>NIKE LUNAR</t>
  </si>
  <si>
    <t>HYPERCOOL</t>
  </si>
  <si>
    <t>SYNC</t>
  </si>
  <si>
    <t>FLYEASE</t>
  </si>
  <si>
    <t>INPA</t>
  </si>
  <si>
    <t>TAILWIND</t>
  </si>
  <si>
    <t>autocom</t>
  </si>
  <si>
    <t>Golf</t>
  </si>
  <si>
    <t>FUSCA</t>
  </si>
  <si>
    <t>E-SYS</t>
  </si>
  <si>
    <t>HYPERVENOM</t>
  </si>
  <si>
    <t>Rheingold</t>
  </si>
  <si>
    <t>NIKE SPHERE</t>
  </si>
  <si>
    <t>No 5</t>
  </si>
  <si>
    <t>MAGISTA</t>
  </si>
  <si>
    <t>Bug</t>
  </si>
  <si>
    <t>Lakme</t>
  </si>
  <si>
    <t>HYPERSTRONG</t>
  </si>
  <si>
    <t>California</t>
  </si>
  <si>
    <t>LUNARGLIDE</t>
  </si>
  <si>
    <t>CARBON CORE</t>
  </si>
  <si>
    <t>ISTA</t>
  </si>
  <si>
    <t>ETK</t>
  </si>
  <si>
    <t>ISPI</t>
  </si>
  <si>
    <t>RIDER</t>
  </si>
  <si>
    <t>ACG NIKE</t>
  </si>
  <si>
    <t>Thunderbolt</t>
  </si>
  <si>
    <t>CP3</t>
  </si>
  <si>
    <t>HYPERFEEL</t>
  </si>
  <si>
    <t>AIR TRAINER MAX</t>
  </si>
  <si>
    <t>UP!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</si>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</sst>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0" fontId="2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10" fontId="0" fillId="0" borderId="1" xfId="1" applyNumberFormat="1" applyFont="1" applyBorder="1"/>
    <xf numFmtId="10" fontId="0" fillId="0" borderId="0" xfId="1" applyNumberFormat="1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10" fontId="0" fillId="0" borderId="2" xfId="1" applyNumberFormat="1" applyFont="1" applyBorder="1"/>
    <xf numFmtId="10" fontId="0" fillId="0" borderId="1" xfId="1" applyNumberFormat="1" applyFont="1" applyFill="1" applyBorder="1" applyAlignment="1">
      <alignment horizontal="center"/>
    </xf>
    <xf numFmtId="1" fontId="2" fillId="4" borderId="1" xfId="1" applyNumberFormat="1" applyFont="1" applyFill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5" borderId="0" xfId="0" applyFill="1"/>
    <xf numFmtId="10" fontId="0" fillId="5" borderId="0" xfId="1" applyNumberFormat="1" applyFont="1" applyFill="1"/>
    <xf numFmtId="10" fontId="0" fillId="0" borderId="0" xfId="1" applyNumberFormat="1" applyFont="1" applyFill="1"/>
    <xf numFmtId="0" fontId="0" fillId="6" borderId="0" xfId="0" applyFill="1"/>
    <xf numFmtId="10" fontId="0" fillId="6" borderId="0" xfId="1" applyNumberFormat="1" applyFont="1" applyFill="1"/>
    <xf numFmtId="0" fontId="0" fillId="7" borderId="0" xfId="0" applyFill="1"/>
    <xf numFmtId="10" fontId="0" fillId="7" borderId="0" xfId="1" applyNumberFormat="1" applyFont="1" applyFill="1"/>
    <xf numFmtId="10" fontId="2" fillId="0" borderId="1" xfId="1" applyNumberFormat="1" applyFont="1" applyBorder="1"/>
    <xf numFmtId="10" fontId="0" fillId="0" borderId="1" xfId="1" applyNumberFormat="1" applyFont="1" applyFill="1" applyBorder="1"/>
    <xf numFmtId="0" fontId="0" fillId="5" borderId="1" xfId="0" applyFill="1" applyBorder="1"/>
    <xf numFmtId="0" fontId="2" fillId="8" borderId="1" xfId="0" applyFont="1" applyFill="1" applyBorder="1"/>
    <xf numFmtId="9" fontId="0" fillId="0" borderId="1" xfId="1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9" borderId="1" xfId="0" applyFill="1" applyBorder="1"/>
    <xf numFmtId="0" fontId="0" fillId="9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E83F-A947-483E-99AA-EA0D47E66233}">
  <dimension ref="A1:BF138"/>
  <sheetViews>
    <sheetView topLeftCell="A43" zoomScale="115" zoomScaleNormal="115" workbookViewId="0">
      <selection activeCell="B53" sqref="B53"/>
    </sheetView>
  </sheetViews>
  <sheetFormatPr defaultRowHeight="14.5" x14ac:dyDescent="0.35"/>
  <cols>
    <col min="2" max="2" width="11.1796875" bestFit="1" customWidth="1"/>
    <col min="3" max="3" width="13.7265625" bestFit="1" customWidth="1"/>
    <col min="4" max="4" width="17" customWidth="1"/>
    <col min="5" max="5" width="16.08984375" bestFit="1" customWidth="1"/>
    <col min="6" max="6" width="16.6328125" bestFit="1" customWidth="1"/>
    <col min="7" max="7" width="10.26953125" style="4" bestFit="1" customWidth="1"/>
    <col min="8" max="8" width="8.08984375" bestFit="1" customWidth="1"/>
    <col min="9" max="9" width="12.1796875" customWidth="1"/>
    <col min="12" max="12" width="8.7265625" style="4"/>
    <col min="17" max="17" width="8.7265625" style="4"/>
    <col min="22" max="22" width="8.7265625" style="4"/>
  </cols>
  <sheetData>
    <row r="1" spans="1:58" x14ac:dyDescent="0.35">
      <c r="A1" s="30" t="s">
        <v>0</v>
      </c>
      <c r="B1" s="30" t="s">
        <v>1</v>
      </c>
      <c r="C1" s="30" t="s">
        <v>2</v>
      </c>
      <c r="D1" s="29" t="s">
        <v>8</v>
      </c>
      <c r="E1" s="29"/>
      <c r="F1" s="29"/>
      <c r="G1" s="29"/>
      <c r="H1" s="29"/>
      <c r="I1" s="29" t="s">
        <v>9</v>
      </c>
      <c r="J1" s="29"/>
      <c r="K1" s="29"/>
      <c r="L1" s="29"/>
      <c r="M1" s="29"/>
      <c r="N1" s="29" t="s">
        <v>109</v>
      </c>
      <c r="O1" s="29"/>
      <c r="P1" s="29"/>
      <c r="Q1" s="29"/>
      <c r="R1" s="29"/>
      <c r="S1" s="29" t="s">
        <v>116</v>
      </c>
      <c r="T1" s="29"/>
      <c r="U1" s="29"/>
      <c r="V1" s="29"/>
      <c r="W1" s="29"/>
      <c r="X1" s="29" t="s">
        <v>117</v>
      </c>
      <c r="Y1" s="29"/>
      <c r="Z1" s="29"/>
      <c r="AA1" s="29"/>
      <c r="AB1" s="29"/>
      <c r="AC1" s="29" t="s">
        <v>118</v>
      </c>
      <c r="AD1" s="29"/>
      <c r="AE1" s="29"/>
      <c r="AF1" s="29"/>
      <c r="AG1" s="29"/>
      <c r="AH1" s="29" t="s">
        <v>147</v>
      </c>
      <c r="AI1" s="29"/>
      <c r="AJ1" s="29"/>
      <c r="AK1" s="29"/>
      <c r="AL1" s="29"/>
      <c r="AM1" s="29" t="s">
        <v>148</v>
      </c>
      <c r="AN1" s="29"/>
      <c r="AO1" s="29"/>
      <c r="AP1" s="29"/>
      <c r="AQ1" s="29"/>
      <c r="AR1" s="29" t="s">
        <v>119</v>
      </c>
      <c r="AS1" s="29"/>
      <c r="AT1" s="29"/>
      <c r="AU1" s="29"/>
      <c r="AV1" s="29"/>
      <c r="AW1" s="29" t="s">
        <v>149</v>
      </c>
      <c r="AX1" s="29"/>
      <c r="AY1" s="29"/>
      <c r="AZ1" s="29"/>
      <c r="BA1" s="29"/>
      <c r="BB1" s="29" t="s">
        <v>120</v>
      </c>
      <c r="BC1" s="29"/>
      <c r="BD1" s="29"/>
      <c r="BE1" s="29"/>
      <c r="BF1" s="29"/>
    </row>
    <row r="2" spans="1:58" x14ac:dyDescent="0.35">
      <c r="A2" s="30"/>
      <c r="B2" s="30"/>
      <c r="C2" s="30"/>
      <c r="D2" s="11" t="s">
        <v>3</v>
      </c>
      <c r="E2" s="11" t="s">
        <v>4</v>
      </c>
      <c r="F2" s="11" t="s">
        <v>5</v>
      </c>
      <c r="G2" s="1" t="s">
        <v>6</v>
      </c>
      <c r="H2" s="11" t="s">
        <v>7</v>
      </c>
      <c r="I2" s="11" t="s">
        <v>3</v>
      </c>
      <c r="J2" s="11" t="s">
        <v>4</v>
      </c>
      <c r="K2" s="11" t="s">
        <v>5</v>
      </c>
      <c r="L2" s="1" t="s">
        <v>6</v>
      </c>
      <c r="M2" s="11" t="s">
        <v>7</v>
      </c>
      <c r="N2" s="11" t="s">
        <v>3</v>
      </c>
      <c r="O2" s="11" t="s">
        <v>4</v>
      </c>
      <c r="P2" s="11" t="s">
        <v>5</v>
      </c>
      <c r="Q2" s="1" t="s">
        <v>6</v>
      </c>
      <c r="R2" s="11" t="s">
        <v>7</v>
      </c>
      <c r="S2" s="11" t="s">
        <v>3</v>
      </c>
      <c r="T2" s="11" t="s">
        <v>4</v>
      </c>
      <c r="U2" s="11" t="s">
        <v>5</v>
      </c>
      <c r="V2" s="1" t="s">
        <v>6</v>
      </c>
      <c r="W2" s="11" t="s">
        <v>7</v>
      </c>
      <c r="X2" s="11" t="s">
        <v>3</v>
      </c>
      <c r="Y2" s="11" t="s">
        <v>4</v>
      </c>
      <c r="Z2" s="11" t="s">
        <v>5</v>
      </c>
      <c r="AA2" s="1" t="s">
        <v>6</v>
      </c>
      <c r="AB2" s="11" t="s">
        <v>7</v>
      </c>
      <c r="AC2" s="11" t="s">
        <v>3</v>
      </c>
      <c r="AD2" s="11" t="s">
        <v>4</v>
      </c>
      <c r="AE2" s="11" t="s">
        <v>5</v>
      </c>
      <c r="AF2" s="1" t="s">
        <v>6</v>
      </c>
      <c r="AG2" s="11" t="s">
        <v>7</v>
      </c>
      <c r="AH2" s="11" t="s">
        <v>3</v>
      </c>
      <c r="AI2" s="11" t="s">
        <v>4</v>
      </c>
      <c r="AJ2" s="11" t="s">
        <v>5</v>
      </c>
      <c r="AK2" s="1" t="s">
        <v>6</v>
      </c>
      <c r="AL2" s="11" t="s">
        <v>7</v>
      </c>
      <c r="AM2" s="11" t="s">
        <v>3</v>
      </c>
      <c r="AN2" s="11" t="s">
        <v>4</v>
      </c>
      <c r="AO2" s="11" t="s">
        <v>5</v>
      </c>
      <c r="AP2" s="1" t="s">
        <v>6</v>
      </c>
      <c r="AQ2" s="11" t="s">
        <v>7</v>
      </c>
      <c r="AR2" s="11" t="s">
        <v>3</v>
      </c>
      <c r="AS2" s="11" t="s">
        <v>4</v>
      </c>
      <c r="AT2" s="11" t="s">
        <v>5</v>
      </c>
      <c r="AU2" s="1" t="s">
        <v>6</v>
      </c>
      <c r="AV2" s="11" t="s">
        <v>7</v>
      </c>
      <c r="AW2" s="11" t="s">
        <v>3</v>
      </c>
      <c r="AX2" s="11" t="s">
        <v>4</v>
      </c>
      <c r="AY2" s="11" t="s">
        <v>5</v>
      </c>
      <c r="AZ2" s="1" t="s">
        <v>6</v>
      </c>
      <c r="BA2" s="11" t="s">
        <v>7</v>
      </c>
      <c r="BB2" s="11" t="s">
        <v>3</v>
      </c>
      <c r="BC2" s="11" t="s">
        <v>4</v>
      </c>
      <c r="BD2" s="11" t="s">
        <v>5</v>
      </c>
      <c r="BE2" s="1" t="s">
        <v>6</v>
      </c>
      <c r="BF2" s="11" t="s">
        <v>7</v>
      </c>
    </row>
    <row r="3" spans="1:58" x14ac:dyDescent="0.35">
      <c r="A3" s="6">
        <v>326424</v>
      </c>
      <c r="B3" s="6" t="s">
        <v>10</v>
      </c>
      <c r="C3" s="6" t="s">
        <v>11</v>
      </c>
      <c r="D3" s="6">
        <v>76067</v>
      </c>
      <c r="E3" s="6">
        <v>73085</v>
      </c>
      <c r="F3" s="6">
        <v>73005</v>
      </c>
      <c r="G3" s="14">
        <f t="shared" ref="G3:G33" si="0">F3/D3</f>
        <v>0.95974601338293875</v>
      </c>
      <c r="H3" s="6">
        <f t="shared" ref="H3:H34" si="1">F3-E3</f>
        <v>-80</v>
      </c>
      <c r="I3" s="6">
        <v>18959</v>
      </c>
      <c r="J3" s="6">
        <v>6323</v>
      </c>
      <c r="K3" s="6">
        <v>6341</v>
      </c>
      <c r="L3" s="14">
        <f t="shared" ref="L3:L34" si="2">K3/I3</f>
        <v>0.33445856848989924</v>
      </c>
      <c r="M3" s="6">
        <f t="shared" ref="M3:M34" si="3">K3-J3</f>
        <v>18</v>
      </c>
      <c r="N3" s="6">
        <v>10581</v>
      </c>
      <c r="O3" s="6">
        <v>3404</v>
      </c>
      <c r="P3" s="6">
        <v>3404</v>
      </c>
      <c r="Q3" s="14">
        <f t="shared" ref="Q3:Q34" si="4">P3/N3</f>
        <v>0.32170872318306398</v>
      </c>
      <c r="R3" s="6">
        <f t="shared" ref="R3:R34" si="5">P3-O3</f>
        <v>0</v>
      </c>
      <c r="S3" s="6">
        <v>30167</v>
      </c>
      <c r="T3" s="6">
        <v>8960</v>
      </c>
      <c r="U3" s="6">
        <v>8937</v>
      </c>
      <c r="V3" s="14">
        <f t="shared" ref="V3:V34" si="6">U3/S3</f>
        <v>0.29625087015613089</v>
      </c>
      <c r="W3" s="6">
        <f t="shared" ref="W3:W34" si="7">U3-T3</f>
        <v>-23</v>
      </c>
      <c r="X3" s="2">
        <v>28799</v>
      </c>
      <c r="Y3" s="2">
        <v>15069</v>
      </c>
      <c r="Z3" s="2">
        <v>15059</v>
      </c>
      <c r="AA3" s="25">
        <f t="shared" ref="AA3:AA34" si="8">Z3/X3</f>
        <v>0.52290010069794091</v>
      </c>
      <c r="AB3" s="2">
        <f t="shared" ref="AB3:AB34" si="9">Z3-Y3</f>
        <v>-10</v>
      </c>
      <c r="AC3" s="2">
        <v>24848</v>
      </c>
      <c r="AD3" s="2">
        <v>6980</v>
      </c>
      <c r="AE3" s="2">
        <v>6565</v>
      </c>
      <c r="AF3" s="25">
        <f t="shared" ref="AF3:AF34" si="10">AE3/AC3</f>
        <v>0.26420637475853187</v>
      </c>
      <c r="AG3" s="2">
        <f t="shared" ref="AG3:AG34" si="11">AE3-AD3</f>
        <v>-415</v>
      </c>
      <c r="AH3" s="2">
        <v>17268</v>
      </c>
      <c r="AI3" s="2">
        <v>3909</v>
      </c>
      <c r="AJ3" s="2">
        <v>3807</v>
      </c>
      <c r="AK3" s="25">
        <f t="shared" ref="AK3:AK34" si="12">AJ3/AH3</f>
        <v>0.22046560111188326</v>
      </c>
      <c r="AL3" s="2"/>
      <c r="AM3" s="2">
        <v>19435</v>
      </c>
      <c r="AN3" s="2">
        <v>4961</v>
      </c>
      <c r="AO3" s="2">
        <v>2564</v>
      </c>
      <c r="AP3" s="25">
        <f t="shared" ref="AP3:AP34" si="13">AO3/AM3</f>
        <v>0.13192693594031388</v>
      </c>
      <c r="AQ3" s="2"/>
      <c r="AR3" s="2">
        <v>41489</v>
      </c>
      <c r="AS3" s="2">
        <v>1255</v>
      </c>
      <c r="AT3" s="2">
        <v>1072</v>
      </c>
      <c r="AU3" s="25">
        <f t="shared" ref="AU3:AU34" si="14">AT3/AR3</f>
        <v>2.5838173973824388E-2</v>
      </c>
      <c r="AV3" s="2">
        <f t="shared" ref="AV3:AV34" si="15">AT3-AS3</f>
        <v>-183</v>
      </c>
      <c r="AW3" s="2">
        <v>26559</v>
      </c>
      <c r="AX3" s="2">
        <v>527</v>
      </c>
      <c r="AY3" s="2">
        <v>450</v>
      </c>
      <c r="AZ3" s="25">
        <f t="shared" ref="AZ3:AZ34" si="16">AY3/AW3</f>
        <v>1.6943409013893594E-2</v>
      </c>
      <c r="BA3" s="2"/>
      <c r="BB3" s="2">
        <f t="shared" ref="BB3:BB34" si="17">AR3+AC3+X3+S3+N3+I3+D3+AM3+AH3+AW3</f>
        <v>294172</v>
      </c>
      <c r="BC3" s="2">
        <f t="shared" ref="BC3:BC34" si="18">AS3+AD3+Y3+T3+O3+J3+E3+AN3+AI3+AX3</f>
        <v>124473</v>
      </c>
      <c r="BD3" s="2">
        <f t="shared" ref="BD3:BD34" si="19">AT3+AE3+Z3+U3+P3+K3+F3+AO3+AJ3+AY3</f>
        <v>121204</v>
      </c>
      <c r="BE3" s="25">
        <f t="shared" ref="BE3:BE34" si="20">BD3/BB3</f>
        <v>0.41201745917354471</v>
      </c>
      <c r="BF3" s="2"/>
    </row>
    <row r="4" spans="1:58" x14ac:dyDescent="0.35">
      <c r="A4" s="6">
        <v>326425</v>
      </c>
      <c r="B4" s="6" t="s">
        <v>14</v>
      </c>
      <c r="C4" s="6" t="s">
        <v>11</v>
      </c>
      <c r="D4" s="6">
        <v>37562</v>
      </c>
      <c r="E4" s="6">
        <v>23588</v>
      </c>
      <c r="F4" s="6">
        <v>21178</v>
      </c>
      <c r="G4" s="14">
        <f t="shared" si="0"/>
        <v>0.56381449337096001</v>
      </c>
      <c r="H4" s="6">
        <f t="shared" si="1"/>
        <v>-2410</v>
      </c>
      <c r="I4" s="6">
        <v>52104</v>
      </c>
      <c r="J4" s="6">
        <v>17123</v>
      </c>
      <c r="K4" s="6">
        <v>16154</v>
      </c>
      <c r="L4" s="14">
        <f t="shared" si="2"/>
        <v>0.31003377859665288</v>
      </c>
      <c r="M4" s="6">
        <f t="shared" si="3"/>
        <v>-969</v>
      </c>
      <c r="N4" s="6">
        <v>27471</v>
      </c>
      <c r="O4" s="6">
        <v>7395</v>
      </c>
      <c r="P4" s="6">
        <v>7271</v>
      </c>
      <c r="Q4" s="14">
        <f t="shared" si="4"/>
        <v>0.26467911615885842</v>
      </c>
      <c r="R4" s="6">
        <f t="shared" si="5"/>
        <v>-124</v>
      </c>
      <c r="S4" s="6">
        <v>46847</v>
      </c>
      <c r="T4" s="6">
        <v>9335</v>
      </c>
      <c r="U4" s="6">
        <v>9293</v>
      </c>
      <c r="V4" s="14">
        <f t="shared" si="6"/>
        <v>0.19836915917774883</v>
      </c>
      <c r="W4" s="6">
        <f t="shared" si="7"/>
        <v>-42</v>
      </c>
      <c r="X4" s="2">
        <v>29621</v>
      </c>
      <c r="Y4" s="2">
        <v>14343</v>
      </c>
      <c r="Z4" s="2">
        <v>14317</v>
      </c>
      <c r="AA4" s="25">
        <f t="shared" si="8"/>
        <v>0.48333952263596774</v>
      </c>
      <c r="AB4" s="2">
        <f t="shared" si="9"/>
        <v>-26</v>
      </c>
      <c r="AC4" s="2">
        <v>28639</v>
      </c>
      <c r="AD4" s="2">
        <v>9405</v>
      </c>
      <c r="AE4" s="2">
        <v>9397</v>
      </c>
      <c r="AF4" s="25">
        <f t="shared" si="10"/>
        <v>0.32811899856838578</v>
      </c>
      <c r="AG4" s="2">
        <f t="shared" si="11"/>
        <v>-8</v>
      </c>
      <c r="AH4" s="2">
        <v>23060</v>
      </c>
      <c r="AI4" s="2">
        <v>8378</v>
      </c>
      <c r="AJ4" s="2">
        <v>7929</v>
      </c>
      <c r="AK4" s="25">
        <f t="shared" si="12"/>
        <v>0.34384215091066783</v>
      </c>
      <c r="AL4" s="2"/>
      <c r="AM4" s="2">
        <v>15458</v>
      </c>
      <c r="AN4" s="2">
        <v>2402</v>
      </c>
      <c r="AO4" s="2">
        <v>4384</v>
      </c>
      <c r="AP4" s="25">
        <f t="shared" si="13"/>
        <v>0.2836071936861172</v>
      </c>
      <c r="AQ4" s="2"/>
      <c r="AR4" s="2">
        <v>48447</v>
      </c>
      <c r="AS4" s="2">
        <v>7672</v>
      </c>
      <c r="AT4" s="2">
        <v>7236</v>
      </c>
      <c r="AU4" s="25">
        <f t="shared" si="14"/>
        <v>0.1493590934423184</v>
      </c>
      <c r="AV4" s="2">
        <f t="shared" si="15"/>
        <v>-436</v>
      </c>
      <c r="AW4" s="2">
        <v>54848</v>
      </c>
      <c r="AX4" s="2">
        <v>5776</v>
      </c>
      <c r="AY4" s="2">
        <v>4585</v>
      </c>
      <c r="AZ4" s="25">
        <f t="shared" si="16"/>
        <v>8.3594661610268378E-2</v>
      </c>
      <c r="BA4" s="2"/>
      <c r="BB4" s="2">
        <f t="shared" si="17"/>
        <v>364057</v>
      </c>
      <c r="BC4" s="2">
        <f t="shared" si="18"/>
        <v>105417</v>
      </c>
      <c r="BD4" s="2">
        <f t="shared" si="19"/>
        <v>101744</v>
      </c>
      <c r="BE4" s="25">
        <f t="shared" si="20"/>
        <v>0.27947271993121958</v>
      </c>
      <c r="BF4" s="2"/>
    </row>
    <row r="5" spans="1:58" x14ac:dyDescent="0.35">
      <c r="A5" s="6">
        <v>242269</v>
      </c>
      <c r="B5" s="6" t="s">
        <v>15</v>
      </c>
      <c r="C5" s="6" t="s">
        <v>11</v>
      </c>
      <c r="D5" s="6">
        <v>239</v>
      </c>
      <c r="E5" s="6">
        <v>122</v>
      </c>
      <c r="F5" s="6">
        <v>121</v>
      </c>
      <c r="G5" s="14">
        <f t="shared" si="0"/>
        <v>0.50627615062761511</v>
      </c>
      <c r="H5" s="6">
        <f t="shared" si="1"/>
        <v>-1</v>
      </c>
      <c r="I5" s="6">
        <v>16991</v>
      </c>
      <c r="J5" s="6">
        <v>1152</v>
      </c>
      <c r="K5" s="6">
        <v>962</v>
      </c>
      <c r="L5" s="14">
        <f t="shared" si="2"/>
        <v>5.6618209640397855E-2</v>
      </c>
      <c r="M5" s="6">
        <f t="shared" si="3"/>
        <v>-190</v>
      </c>
      <c r="N5" s="6">
        <v>7723</v>
      </c>
      <c r="O5" s="6">
        <v>0</v>
      </c>
      <c r="P5" s="6">
        <v>0</v>
      </c>
      <c r="Q5" s="14">
        <f t="shared" si="4"/>
        <v>0</v>
      </c>
      <c r="R5" s="6">
        <f t="shared" si="5"/>
        <v>0</v>
      </c>
      <c r="S5" s="6">
        <v>854</v>
      </c>
      <c r="T5" s="6">
        <v>21</v>
      </c>
      <c r="U5" s="6">
        <v>24</v>
      </c>
      <c r="V5" s="14">
        <f t="shared" si="6"/>
        <v>2.8103044496487119E-2</v>
      </c>
      <c r="W5" s="6">
        <f t="shared" si="7"/>
        <v>3</v>
      </c>
      <c r="X5" s="2">
        <v>15155</v>
      </c>
      <c r="Y5" s="2">
        <v>1418</v>
      </c>
      <c r="Z5" s="2">
        <v>994</v>
      </c>
      <c r="AA5" s="25">
        <f t="shared" si="8"/>
        <v>6.5588914549653585E-2</v>
      </c>
      <c r="AB5" s="2">
        <f t="shared" si="9"/>
        <v>-424</v>
      </c>
      <c r="AC5" s="2">
        <v>12043</v>
      </c>
      <c r="AD5" s="2">
        <v>663</v>
      </c>
      <c r="AE5" s="2">
        <v>594</v>
      </c>
      <c r="AF5" s="25">
        <f t="shared" si="10"/>
        <v>4.9323258324337788E-2</v>
      </c>
      <c r="AG5" s="2">
        <f t="shared" si="11"/>
        <v>-69</v>
      </c>
      <c r="AH5" s="2">
        <v>20350</v>
      </c>
      <c r="AI5" s="2">
        <v>749</v>
      </c>
      <c r="AJ5" s="2">
        <v>359</v>
      </c>
      <c r="AK5" s="25">
        <f t="shared" si="12"/>
        <v>1.7641277641277642E-2</v>
      </c>
      <c r="AL5" s="2"/>
      <c r="AM5" s="2">
        <v>33218</v>
      </c>
      <c r="AN5" s="2">
        <v>1873</v>
      </c>
      <c r="AO5" s="2">
        <v>1531</v>
      </c>
      <c r="AP5" s="25">
        <f t="shared" si="13"/>
        <v>4.6089469564693841E-2</v>
      </c>
      <c r="AQ5" s="2"/>
      <c r="AR5" s="2">
        <v>62026</v>
      </c>
      <c r="AS5" s="2">
        <v>1196</v>
      </c>
      <c r="AT5" s="2">
        <v>683</v>
      </c>
      <c r="AU5" s="25">
        <f t="shared" si="14"/>
        <v>1.1011511301712185E-2</v>
      </c>
      <c r="AV5" s="2">
        <f t="shared" si="15"/>
        <v>-513</v>
      </c>
      <c r="AW5" s="2">
        <v>63047</v>
      </c>
      <c r="AX5" s="2">
        <v>1716</v>
      </c>
      <c r="AY5" s="2">
        <v>1246</v>
      </c>
      <c r="AZ5" s="25">
        <f t="shared" si="16"/>
        <v>1.9763033927070281E-2</v>
      </c>
      <c r="BA5" s="2"/>
      <c r="BB5" s="2">
        <f t="shared" si="17"/>
        <v>231646</v>
      </c>
      <c r="BC5" s="2">
        <f t="shared" si="18"/>
        <v>8910</v>
      </c>
      <c r="BD5" s="2">
        <f t="shared" si="19"/>
        <v>6514</v>
      </c>
      <c r="BE5" s="25">
        <f t="shared" si="20"/>
        <v>2.8120494202360499E-2</v>
      </c>
      <c r="BF5" s="2"/>
    </row>
    <row r="6" spans="1:58" x14ac:dyDescent="0.35">
      <c r="A6" s="6">
        <v>326696</v>
      </c>
      <c r="B6" s="6" t="s">
        <v>16</v>
      </c>
      <c r="C6" s="6" t="s">
        <v>11</v>
      </c>
      <c r="D6" s="6">
        <v>2442</v>
      </c>
      <c r="E6" s="6">
        <v>1471</v>
      </c>
      <c r="F6" s="6">
        <v>1048</v>
      </c>
      <c r="G6" s="14">
        <f t="shared" si="0"/>
        <v>0.42915642915642915</v>
      </c>
      <c r="H6" s="6">
        <f t="shared" si="1"/>
        <v>-423</v>
      </c>
      <c r="I6" s="6">
        <v>1400</v>
      </c>
      <c r="J6" s="6">
        <v>888</v>
      </c>
      <c r="K6" s="6">
        <v>738</v>
      </c>
      <c r="L6" s="14">
        <f t="shared" si="2"/>
        <v>0.52714285714285714</v>
      </c>
      <c r="M6" s="6">
        <f t="shared" si="3"/>
        <v>-150</v>
      </c>
      <c r="N6" s="6">
        <v>1767</v>
      </c>
      <c r="O6" s="6">
        <v>615</v>
      </c>
      <c r="P6" s="6">
        <v>501</v>
      </c>
      <c r="Q6" s="14">
        <f t="shared" si="4"/>
        <v>0.28353140916808151</v>
      </c>
      <c r="R6" s="6">
        <f t="shared" si="5"/>
        <v>-114</v>
      </c>
      <c r="S6" s="6">
        <v>1681</v>
      </c>
      <c r="T6" s="6">
        <v>400</v>
      </c>
      <c r="U6" s="6">
        <v>234</v>
      </c>
      <c r="V6" s="14">
        <f t="shared" si="6"/>
        <v>0.13920285544318858</v>
      </c>
      <c r="W6" s="6">
        <f t="shared" si="7"/>
        <v>-166</v>
      </c>
      <c r="X6" s="2">
        <v>3877</v>
      </c>
      <c r="Y6" s="2">
        <v>128</v>
      </c>
      <c r="Z6" s="2">
        <v>29</v>
      </c>
      <c r="AA6" s="25">
        <f t="shared" si="8"/>
        <v>7.4800103172556103E-3</v>
      </c>
      <c r="AB6" s="2">
        <f t="shared" si="9"/>
        <v>-99</v>
      </c>
      <c r="AC6" s="2">
        <v>6490</v>
      </c>
      <c r="AD6" s="2">
        <v>284</v>
      </c>
      <c r="AE6" s="2">
        <v>273</v>
      </c>
      <c r="AF6" s="25">
        <f t="shared" si="10"/>
        <v>4.2064714946070877E-2</v>
      </c>
      <c r="AG6" s="2">
        <f t="shared" si="11"/>
        <v>-11</v>
      </c>
      <c r="AH6" s="2">
        <v>1240</v>
      </c>
      <c r="AI6" s="2">
        <v>476</v>
      </c>
      <c r="AJ6" s="2">
        <v>453</v>
      </c>
      <c r="AK6" s="25">
        <f t="shared" si="12"/>
        <v>0.36532258064516127</v>
      </c>
      <c r="AL6" s="2"/>
      <c r="AM6" s="2">
        <v>11110</v>
      </c>
      <c r="AN6" s="2">
        <v>276</v>
      </c>
      <c r="AO6" s="2">
        <v>165</v>
      </c>
      <c r="AP6" s="25">
        <f t="shared" si="13"/>
        <v>1.4851485148514851E-2</v>
      </c>
      <c r="AQ6" s="2"/>
      <c r="AR6" s="2">
        <v>8996</v>
      </c>
      <c r="AS6" s="2">
        <v>419</v>
      </c>
      <c r="AT6" s="2">
        <v>152</v>
      </c>
      <c r="AU6" s="25">
        <f t="shared" si="14"/>
        <v>1.6896398399288574E-2</v>
      </c>
      <c r="AV6" s="2">
        <f t="shared" si="15"/>
        <v>-267</v>
      </c>
      <c r="AW6" s="2">
        <v>328</v>
      </c>
      <c r="AX6" s="2">
        <v>272</v>
      </c>
      <c r="AY6" s="2">
        <v>193</v>
      </c>
      <c r="AZ6" s="25">
        <f t="shared" si="16"/>
        <v>0.58841463414634143</v>
      </c>
      <c r="BA6" s="2"/>
      <c r="BB6" s="2">
        <f t="shared" si="17"/>
        <v>39331</v>
      </c>
      <c r="BC6" s="2">
        <f t="shared" si="18"/>
        <v>5229</v>
      </c>
      <c r="BD6" s="2">
        <f t="shared" si="19"/>
        <v>3786</v>
      </c>
      <c r="BE6" s="25">
        <f t="shared" si="20"/>
        <v>9.6259947624011591E-2</v>
      </c>
      <c r="BF6" s="2"/>
    </row>
    <row r="7" spans="1:58" x14ac:dyDescent="0.35">
      <c r="A7" s="6">
        <v>110955</v>
      </c>
      <c r="B7" s="6" t="s">
        <v>20</v>
      </c>
      <c r="C7" s="6" t="s">
        <v>11</v>
      </c>
      <c r="D7" s="6">
        <v>68112</v>
      </c>
      <c r="E7" s="6">
        <v>15950</v>
      </c>
      <c r="F7" s="6">
        <v>20293</v>
      </c>
      <c r="G7" s="14">
        <f t="shared" si="0"/>
        <v>0.29793575287761337</v>
      </c>
      <c r="H7" s="6">
        <f t="shared" si="1"/>
        <v>4343</v>
      </c>
      <c r="I7" s="6">
        <v>81796</v>
      </c>
      <c r="J7" s="6">
        <v>14546</v>
      </c>
      <c r="K7" s="6">
        <v>13790</v>
      </c>
      <c r="L7" s="14">
        <f t="shared" si="2"/>
        <v>0.16859015110763362</v>
      </c>
      <c r="M7" s="6">
        <f t="shared" si="3"/>
        <v>-756</v>
      </c>
      <c r="N7" s="6">
        <v>63600</v>
      </c>
      <c r="O7" s="6">
        <v>18118</v>
      </c>
      <c r="P7" s="6">
        <v>16798</v>
      </c>
      <c r="Q7" s="14">
        <f t="shared" si="4"/>
        <v>0.26411949685534591</v>
      </c>
      <c r="R7" s="6">
        <f t="shared" si="5"/>
        <v>-1320</v>
      </c>
      <c r="S7" s="6">
        <v>75102</v>
      </c>
      <c r="T7" s="6">
        <v>16663</v>
      </c>
      <c r="U7" s="6">
        <v>15360</v>
      </c>
      <c r="V7" s="14">
        <f t="shared" si="6"/>
        <v>0.20452185028361428</v>
      </c>
      <c r="W7" s="6">
        <f t="shared" si="7"/>
        <v>-1303</v>
      </c>
      <c r="X7" s="2">
        <v>64719</v>
      </c>
      <c r="Y7" s="2">
        <v>27953</v>
      </c>
      <c r="Z7" s="2">
        <v>26096</v>
      </c>
      <c r="AA7" s="25">
        <f t="shared" si="8"/>
        <v>0.40322007447581082</v>
      </c>
      <c r="AB7" s="2">
        <f t="shared" si="9"/>
        <v>-1857</v>
      </c>
      <c r="AC7" s="2">
        <v>40450</v>
      </c>
      <c r="AD7" s="2">
        <v>7339</v>
      </c>
      <c r="AE7" s="2">
        <v>8355</v>
      </c>
      <c r="AF7" s="25">
        <f t="shared" si="10"/>
        <v>0.2065512978986403</v>
      </c>
      <c r="AG7" s="2">
        <f t="shared" si="11"/>
        <v>1016</v>
      </c>
      <c r="AH7" s="2">
        <v>55291</v>
      </c>
      <c r="AI7" s="2">
        <v>7397</v>
      </c>
      <c r="AJ7" s="2">
        <v>6665</v>
      </c>
      <c r="AK7" s="25">
        <f t="shared" si="12"/>
        <v>0.12054403067406992</v>
      </c>
      <c r="AL7" s="2"/>
      <c r="AM7" s="2">
        <v>74583</v>
      </c>
      <c r="AN7" s="2">
        <v>8572</v>
      </c>
      <c r="AO7" s="2">
        <v>7709</v>
      </c>
      <c r="AP7" s="25">
        <f t="shared" si="13"/>
        <v>0.10336135580494214</v>
      </c>
      <c r="AQ7" s="2"/>
      <c r="AR7" s="2">
        <v>170623</v>
      </c>
      <c r="AS7" s="2">
        <v>27355</v>
      </c>
      <c r="AT7" s="2">
        <v>24062</v>
      </c>
      <c r="AU7" s="25">
        <f t="shared" si="14"/>
        <v>0.14102436365554469</v>
      </c>
      <c r="AV7" s="2">
        <f t="shared" si="15"/>
        <v>-3293</v>
      </c>
      <c r="AW7" s="2">
        <v>145996</v>
      </c>
      <c r="AX7" s="2">
        <v>24004</v>
      </c>
      <c r="AY7" s="2">
        <v>27042</v>
      </c>
      <c r="AZ7" s="25">
        <f t="shared" si="16"/>
        <v>0.18522425271925258</v>
      </c>
      <c r="BA7" s="2"/>
      <c r="BB7" s="2">
        <f t="shared" si="17"/>
        <v>840272</v>
      </c>
      <c r="BC7" s="2">
        <f t="shared" si="18"/>
        <v>167897</v>
      </c>
      <c r="BD7" s="2">
        <f t="shared" si="19"/>
        <v>166170</v>
      </c>
      <c r="BE7" s="25">
        <f t="shared" si="20"/>
        <v>0.19775739284422186</v>
      </c>
      <c r="BF7" s="2"/>
    </row>
    <row r="8" spans="1:58" x14ac:dyDescent="0.35">
      <c r="A8" s="6">
        <v>213407</v>
      </c>
      <c r="B8" s="6" t="s">
        <v>21</v>
      </c>
      <c r="C8" s="6" t="s">
        <v>11</v>
      </c>
      <c r="D8" s="6">
        <v>58235</v>
      </c>
      <c r="E8" s="6">
        <v>19937</v>
      </c>
      <c r="F8" s="6">
        <v>15775</v>
      </c>
      <c r="G8" s="14">
        <f t="shared" si="0"/>
        <v>0.27088520649094189</v>
      </c>
      <c r="H8" s="6">
        <f t="shared" si="1"/>
        <v>-4162</v>
      </c>
      <c r="I8" s="6">
        <v>65023</v>
      </c>
      <c r="J8" s="6">
        <v>11347</v>
      </c>
      <c r="K8" s="6">
        <v>9146</v>
      </c>
      <c r="L8" s="14">
        <f t="shared" si="2"/>
        <v>0.14065792104332314</v>
      </c>
      <c r="M8" s="6">
        <f t="shared" si="3"/>
        <v>-2201</v>
      </c>
      <c r="N8" s="6">
        <v>48775</v>
      </c>
      <c r="O8" s="6">
        <v>9158</v>
      </c>
      <c r="P8" s="6">
        <v>6962</v>
      </c>
      <c r="Q8" s="14">
        <f t="shared" si="4"/>
        <v>0.14273705791901589</v>
      </c>
      <c r="R8" s="6">
        <f t="shared" si="5"/>
        <v>-2196</v>
      </c>
      <c r="S8" s="6">
        <v>59668</v>
      </c>
      <c r="T8" s="6">
        <v>16736</v>
      </c>
      <c r="U8" s="6">
        <v>14485</v>
      </c>
      <c r="V8" s="14">
        <f t="shared" si="6"/>
        <v>0.24275993832540055</v>
      </c>
      <c r="W8" s="6">
        <f t="shared" si="7"/>
        <v>-2251</v>
      </c>
      <c r="X8" s="2">
        <v>37225</v>
      </c>
      <c r="Y8" s="2">
        <v>7185</v>
      </c>
      <c r="Z8" s="2">
        <v>5783</v>
      </c>
      <c r="AA8" s="25">
        <f t="shared" si="8"/>
        <v>0.15535258562793822</v>
      </c>
      <c r="AB8" s="2">
        <f t="shared" si="9"/>
        <v>-1402</v>
      </c>
      <c r="AC8" s="2">
        <v>16071</v>
      </c>
      <c r="AD8" s="2">
        <v>3047</v>
      </c>
      <c r="AE8" s="2">
        <v>2435</v>
      </c>
      <c r="AF8" s="25">
        <f t="shared" si="10"/>
        <v>0.15151515151515152</v>
      </c>
      <c r="AG8" s="2">
        <f t="shared" si="11"/>
        <v>-612</v>
      </c>
      <c r="AH8" s="2">
        <v>14616</v>
      </c>
      <c r="AI8" s="2">
        <v>1534</v>
      </c>
      <c r="AJ8" s="2">
        <v>1450</v>
      </c>
      <c r="AK8" s="25">
        <f t="shared" si="12"/>
        <v>9.9206349206349201E-2</v>
      </c>
      <c r="AL8" s="2"/>
      <c r="AM8" s="2">
        <v>48512</v>
      </c>
      <c r="AN8" s="2">
        <v>4102</v>
      </c>
      <c r="AO8" s="2">
        <v>3208</v>
      </c>
      <c r="AP8" s="25">
        <f t="shared" si="13"/>
        <v>6.6127968337730866E-2</v>
      </c>
      <c r="AQ8" s="2"/>
      <c r="AR8" s="2">
        <v>21785</v>
      </c>
      <c r="AS8" s="2">
        <v>372</v>
      </c>
      <c r="AT8" s="2">
        <v>179</v>
      </c>
      <c r="AU8" s="25">
        <f t="shared" si="14"/>
        <v>8.2166628414046365E-3</v>
      </c>
      <c r="AV8" s="2">
        <f t="shared" si="15"/>
        <v>-193</v>
      </c>
      <c r="AW8" s="2">
        <v>18179</v>
      </c>
      <c r="AX8" s="2">
        <v>218</v>
      </c>
      <c r="AY8" s="2">
        <v>57</v>
      </c>
      <c r="AZ8" s="25">
        <f t="shared" si="16"/>
        <v>3.1354860003300514E-3</v>
      </c>
      <c r="BA8" s="2"/>
      <c r="BB8" s="2">
        <f t="shared" si="17"/>
        <v>388089</v>
      </c>
      <c r="BC8" s="2">
        <f t="shared" si="18"/>
        <v>73636</v>
      </c>
      <c r="BD8" s="2">
        <f t="shared" si="19"/>
        <v>59480</v>
      </c>
      <c r="BE8" s="25">
        <f t="shared" si="20"/>
        <v>0.15326381319748819</v>
      </c>
      <c r="BF8" s="2"/>
    </row>
    <row r="9" spans="1:58" x14ac:dyDescent="0.35">
      <c r="A9" s="6">
        <v>553871</v>
      </c>
      <c r="B9" s="6" t="s">
        <v>22</v>
      </c>
      <c r="C9" s="6" t="s">
        <v>11</v>
      </c>
      <c r="D9" s="6">
        <v>50632</v>
      </c>
      <c r="E9" s="6">
        <v>16520</v>
      </c>
      <c r="F9" s="6">
        <v>13063</v>
      </c>
      <c r="G9" s="14">
        <f t="shared" si="0"/>
        <v>0.25799889398009163</v>
      </c>
      <c r="H9" s="6">
        <f t="shared" si="1"/>
        <v>-3457</v>
      </c>
      <c r="I9" s="6">
        <v>33130</v>
      </c>
      <c r="J9" s="6">
        <v>9991</v>
      </c>
      <c r="K9" s="6">
        <v>8440</v>
      </c>
      <c r="L9" s="14">
        <f t="shared" si="2"/>
        <v>0.25475399939631754</v>
      </c>
      <c r="M9" s="6">
        <f t="shared" si="3"/>
        <v>-1551</v>
      </c>
      <c r="N9" s="6">
        <v>19990</v>
      </c>
      <c r="O9" s="6">
        <v>4997</v>
      </c>
      <c r="P9" s="6">
        <v>5695</v>
      </c>
      <c r="Q9" s="14">
        <f t="shared" si="4"/>
        <v>0.28489244622311155</v>
      </c>
      <c r="R9" s="6">
        <f t="shared" si="5"/>
        <v>698</v>
      </c>
      <c r="S9" s="6">
        <v>37861</v>
      </c>
      <c r="T9" s="6">
        <v>7987</v>
      </c>
      <c r="U9" s="6">
        <v>6972</v>
      </c>
      <c r="V9" s="14">
        <f t="shared" si="6"/>
        <v>0.18414727556060326</v>
      </c>
      <c r="W9" s="6">
        <f t="shared" si="7"/>
        <v>-1015</v>
      </c>
      <c r="X9" s="2">
        <v>49660</v>
      </c>
      <c r="Y9" s="2">
        <v>6743</v>
      </c>
      <c r="Z9" s="2">
        <v>6903</v>
      </c>
      <c r="AA9" s="25">
        <f t="shared" si="8"/>
        <v>0.13900523560209424</v>
      </c>
      <c r="AB9" s="2">
        <f t="shared" si="9"/>
        <v>160</v>
      </c>
      <c r="AC9" s="2">
        <v>32179</v>
      </c>
      <c r="AD9" s="2">
        <v>4346</v>
      </c>
      <c r="AE9" s="2">
        <v>3553</v>
      </c>
      <c r="AF9" s="25">
        <f t="shared" si="10"/>
        <v>0.11041362379191398</v>
      </c>
      <c r="AG9" s="2">
        <f t="shared" si="11"/>
        <v>-793</v>
      </c>
      <c r="AH9" s="2">
        <v>169981</v>
      </c>
      <c r="AI9" s="2">
        <v>56033</v>
      </c>
      <c r="AJ9" s="2">
        <v>68758</v>
      </c>
      <c r="AK9" s="25">
        <f t="shared" si="12"/>
        <v>0.40450403280366631</v>
      </c>
      <c r="AL9" s="2"/>
      <c r="AM9" s="2">
        <v>430286</v>
      </c>
      <c r="AN9" s="2">
        <v>294156</v>
      </c>
      <c r="AO9" s="2">
        <v>248225</v>
      </c>
      <c r="AP9" s="25">
        <f t="shared" si="13"/>
        <v>0.57688374708914536</v>
      </c>
      <c r="AQ9" s="2"/>
      <c r="AR9" s="2">
        <v>157767</v>
      </c>
      <c r="AS9" s="2">
        <v>138538</v>
      </c>
      <c r="AT9" s="2">
        <v>122335</v>
      </c>
      <c r="AU9" s="25">
        <f t="shared" si="14"/>
        <v>0.7754156445898065</v>
      </c>
      <c r="AV9" s="2">
        <f t="shared" si="15"/>
        <v>-16203</v>
      </c>
      <c r="AW9" s="2">
        <v>102214</v>
      </c>
      <c r="AX9" s="2">
        <v>87553</v>
      </c>
      <c r="AY9" s="2">
        <v>105479</v>
      </c>
      <c r="AZ9" s="25">
        <f t="shared" si="16"/>
        <v>1.0319427867024087</v>
      </c>
      <c r="BA9" s="2"/>
      <c r="BB9" s="2">
        <f t="shared" si="17"/>
        <v>1083700</v>
      </c>
      <c r="BC9" s="2">
        <f t="shared" si="18"/>
        <v>626864</v>
      </c>
      <c r="BD9" s="2">
        <f t="shared" si="19"/>
        <v>589423</v>
      </c>
      <c r="BE9" s="25">
        <f t="shared" si="20"/>
        <v>0.54389868044661804</v>
      </c>
      <c r="BF9" s="2"/>
    </row>
    <row r="10" spans="1:58" x14ac:dyDescent="0.35">
      <c r="A10" s="6">
        <v>338695</v>
      </c>
      <c r="B10" s="6" t="s">
        <v>23</v>
      </c>
      <c r="C10" s="6" t="s">
        <v>11</v>
      </c>
      <c r="D10" s="6">
        <v>60569</v>
      </c>
      <c r="E10" s="6">
        <v>15337</v>
      </c>
      <c r="F10" s="6">
        <v>15369</v>
      </c>
      <c r="G10" s="14">
        <f t="shared" si="0"/>
        <v>0.25374366425068928</v>
      </c>
      <c r="H10" s="6">
        <f t="shared" si="1"/>
        <v>32</v>
      </c>
      <c r="I10" s="6">
        <v>50402</v>
      </c>
      <c r="J10" s="6">
        <v>14080</v>
      </c>
      <c r="K10" s="6">
        <v>10445</v>
      </c>
      <c r="L10" s="14">
        <f t="shared" si="2"/>
        <v>0.20723383992698702</v>
      </c>
      <c r="M10" s="6">
        <f t="shared" si="3"/>
        <v>-3635</v>
      </c>
      <c r="N10" s="6">
        <v>28019</v>
      </c>
      <c r="O10" s="6">
        <v>9573</v>
      </c>
      <c r="P10" s="6">
        <v>11952</v>
      </c>
      <c r="Q10" s="14">
        <f t="shared" si="4"/>
        <v>0.42656768621292696</v>
      </c>
      <c r="R10" s="6">
        <f t="shared" si="5"/>
        <v>2379</v>
      </c>
      <c r="S10" s="6">
        <v>38862</v>
      </c>
      <c r="T10" s="6">
        <v>13893</v>
      </c>
      <c r="U10" s="6">
        <v>12554</v>
      </c>
      <c r="V10" s="14">
        <f t="shared" si="6"/>
        <v>0.32304050229015491</v>
      </c>
      <c r="W10" s="6">
        <f t="shared" si="7"/>
        <v>-1339</v>
      </c>
      <c r="X10" s="2">
        <v>38370</v>
      </c>
      <c r="Y10" s="2">
        <v>10700</v>
      </c>
      <c r="Z10" s="2">
        <v>8569</v>
      </c>
      <c r="AA10" s="25">
        <f t="shared" si="8"/>
        <v>0.22332551472504561</v>
      </c>
      <c r="AB10" s="2">
        <f t="shared" si="9"/>
        <v>-2131</v>
      </c>
      <c r="AC10" s="2">
        <v>51762</v>
      </c>
      <c r="AD10" s="2">
        <v>15193</v>
      </c>
      <c r="AE10" s="2">
        <v>15506</v>
      </c>
      <c r="AF10" s="25">
        <f t="shared" si="10"/>
        <v>0.29956338626791856</v>
      </c>
      <c r="AG10" s="2">
        <f t="shared" si="11"/>
        <v>313</v>
      </c>
      <c r="AH10" s="2">
        <v>24535</v>
      </c>
      <c r="AI10" s="2">
        <v>2988</v>
      </c>
      <c r="AJ10" s="2">
        <v>3158</v>
      </c>
      <c r="AK10" s="25">
        <f t="shared" si="12"/>
        <v>0.12871408192378236</v>
      </c>
      <c r="AL10" s="2"/>
      <c r="AM10" s="2">
        <v>11517</v>
      </c>
      <c r="AN10" s="2">
        <v>2549</v>
      </c>
      <c r="AO10" s="2">
        <v>1692</v>
      </c>
      <c r="AP10" s="25">
        <f t="shared" si="13"/>
        <v>0.14691325866110966</v>
      </c>
      <c r="AQ10" s="2"/>
      <c r="AR10" s="2">
        <v>36169</v>
      </c>
      <c r="AS10" s="2">
        <v>12512</v>
      </c>
      <c r="AT10" s="2">
        <v>10844</v>
      </c>
      <c r="AU10" s="25">
        <f t="shared" si="14"/>
        <v>0.29981475849484363</v>
      </c>
      <c r="AV10" s="2">
        <f t="shared" si="15"/>
        <v>-1668</v>
      </c>
      <c r="AW10" s="2">
        <v>39234</v>
      </c>
      <c r="AX10" s="2">
        <v>7085</v>
      </c>
      <c r="AY10" s="2">
        <v>4322</v>
      </c>
      <c r="AZ10" s="25">
        <f t="shared" si="16"/>
        <v>0.1101595554875873</v>
      </c>
      <c r="BA10" s="2"/>
      <c r="BB10" s="2">
        <f t="shared" si="17"/>
        <v>379439</v>
      </c>
      <c r="BC10" s="2">
        <f t="shared" si="18"/>
        <v>103910</v>
      </c>
      <c r="BD10" s="2">
        <f t="shared" si="19"/>
        <v>94411</v>
      </c>
      <c r="BE10" s="25">
        <f t="shared" si="20"/>
        <v>0.24881733295733965</v>
      </c>
      <c r="BF10" s="2"/>
    </row>
    <row r="11" spans="1:58" x14ac:dyDescent="0.35">
      <c r="A11" s="6">
        <v>326694</v>
      </c>
      <c r="B11" s="6" t="s">
        <v>24</v>
      </c>
      <c r="C11" s="6" t="s">
        <v>11</v>
      </c>
      <c r="D11" s="6">
        <v>50510</v>
      </c>
      <c r="E11" s="6">
        <v>13108</v>
      </c>
      <c r="F11" s="6">
        <v>12590</v>
      </c>
      <c r="G11" s="14">
        <f t="shared" si="0"/>
        <v>0.24925757275786972</v>
      </c>
      <c r="H11" s="6">
        <f t="shared" si="1"/>
        <v>-518</v>
      </c>
      <c r="I11" s="6">
        <v>40377</v>
      </c>
      <c r="J11" s="6">
        <v>16090</v>
      </c>
      <c r="K11" s="6">
        <v>12299</v>
      </c>
      <c r="L11" s="14">
        <f t="shared" si="2"/>
        <v>0.30460410629814005</v>
      </c>
      <c r="M11" s="6">
        <f t="shared" si="3"/>
        <v>-3791</v>
      </c>
      <c r="N11" s="6">
        <v>22132</v>
      </c>
      <c r="O11" s="6">
        <v>16650</v>
      </c>
      <c r="P11" s="6">
        <v>19518</v>
      </c>
      <c r="Q11" s="14">
        <f t="shared" si="4"/>
        <v>0.88189047532983911</v>
      </c>
      <c r="R11" s="6">
        <f t="shared" si="5"/>
        <v>2868</v>
      </c>
      <c r="S11" s="6">
        <v>34508</v>
      </c>
      <c r="T11" s="6">
        <v>17931</v>
      </c>
      <c r="U11" s="6">
        <v>15937</v>
      </c>
      <c r="V11" s="14">
        <f t="shared" si="6"/>
        <v>0.46183493682624321</v>
      </c>
      <c r="W11" s="6">
        <f t="shared" si="7"/>
        <v>-1994</v>
      </c>
      <c r="X11" s="2">
        <v>43322</v>
      </c>
      <c r="Y11" s="2">
        <v>18600</v>
      </c>
      <c r="Z11" s="2">
        <v>14573</v>
      </c>
      <c r="AA11" s="25">
        <f t="shared" si="8"/>
        <v>0.33638797839434931</v>
      </c>
      <c r="AB11" s="2">
        <f t="shared" si="9"/>
        <v>-4027</v>
      </c>
      <c r="AC11" s="2">
        <v>31047</v>
      </c>
      <c r="AD11" s="2">
        <v>22800</v>
      </c>
      <c r="AE11" s="2">
        <v>24118</v>
      </c>
      <c r="AF11" s="25">
        <f t="shared" si="10"/>
        <v>0.77682223725319677</v>
      </c>
      <c r="AG11" s="2">
        <f t="shared" si="11"/>
        <v>1318</v>
      </c>
      <c r="AH11" s="2">
        <v>37170</v>
      </c>
      <c r="AI11" s="2">
        <v>26814</v>
      </c>
      <c r="AJ11" s="2">
        <v>24995</v>
      </c>
      <c r="AK11" s="25">
        <f t="shared" si="12"/>
        <v>0.67245090126446061</v>
      </c>
      <c r="AL11" s="2"/>
      <c r="AM11" s="2">
        <v>49173</v>
      </c>
      <c r="AN11" s="2">
        <v>16760</v>
      </c>
      <c r="AO11" s="2">
        <v>11967</v>
      </c>
      <c r="AP11" s="25">
        <f t="shared" si="13"/>
        <v>0.24336526142395218</v>
      </c>
      <c r="AQ11" s="2"/>
      <c r="AR11" s="2">
        <v>28814</v>
      </c>
      <c r="AS11" s="2">
        <v>23529</v>
      </c>
      <c r="AT11" s="2">
        <v>15689</v>
      </c>
      <c r="AU11" s="25">
        <f t="shared" si="14"/>
        <v>0.54449226070660095</v>
      </c>
      <c r="AV11" s="2">
        <f t="shared" si="15"/>
        <v>-7840</v>
      </c>
      <c r="AW11" s="2">
        <v>34820</v>
      </c>
      <c r="AX11" s="2">
        <v>21981</v>
      </c>
      <c r="AY11" s="2">
        <v>19323</v>
      </c>
      <c r="AZ11" s="25">
        <f t="shared" si="16"/>
        <v>0.55493968983342912</v>
      </c>
      <c r="BA11" s="2"/>
      <c r="BB11" s="2">
        <f t="shared" si="17"/>
        <v>371873</v>
      </c>
      <c r="BC11" s="2">
        <f t="shared" si="18"/>
        <v>194263</v>
      </c>
      <c r="BD11" s="2">
        <f t="shared" si="19"/>
        <v>171009</v>
      </c>
      <c r="BE11" s="25">
        <f t="shared" si="20"/>
        <v>0.45985860764293185</v>
      </c>
      <c r="BF11" s="2"/>
    </row>
    <row r="12" spans="1:58" x14ac:dyDescent="0.35">
      <c r="A12" s="6">
        <v>326429</v>
      </c>
      <c r="B12" s="6" t="s">
        <v>25</v>
      </c>
      <c r="C12" s="6" t="s">
        <v>11</v>
      </c>
      <c r="D12" s="6">
        <v>58999</v>
      </c>
      <c r="E12" s="6">
        <v>13746</v>
      </c>
      <c r="F12" s="6">
        <v>13646</v>
      </c>
      <c r="G12" s="14">
        <f t="shared" si="0"/>
        <v>0.23129205579755588</v>
      </c>
      <c r="H12" s="6">
        <f t="shared" si="1"/>
        <v>-100</v>
      </c>
      <c r="I12" s="6">
        <v>68790</v>
      </c>
      <c r="J12" s="6">
        <v>14875</v>
      </c>
      <c r="K12" s="6">
        <v>14354</v>
      </c>
      <c r="L12" s="14">
        <f t="shared" si="2"/>
        <v>0.20866405000726851</v>
      </c>
      <c r="M12" s="6">
        <f t="shared" si="3"/>
        <v>-521</v>
      </c>
      <c r="N12" s="6">
        <v>70241</v>
      </c>
      <c r="O12" s="6">
        <v>44126</v>
      </c>
      <c r="P12" s="6">
        <v>44075</v>
      </c>
      <c r="Q12" s="14">
        <f t="shared" si="4"/>
        <v>0.62748252445153119</v>
      </c>
      <c r="R12" s="6">
        <f t="shared" si="5"/>
        <v>-51</v>
      </c>
      <c r="S12" s="6">
        <v>40275</v>
      </c>
      <c r="T12" s="6">
        <v>8958</v>
      </c>
      <c r="U12" s="6">
        <v>8604</v>
      </c>
      <c r="V12" s="14">
        <f t="shared" si="6"/>
        <v>0.21363128491620112</v>
      </c>
      <c r="W12" s="6">
        <f t="shared" si="7"/>
        <v>-354</v>
      </c>
      <c r="X12" s="2">
        <v>35346</v>
      </c>
      <c r="Y12" s="2">
        <v>6875</v>
      </c>
      <c r="Z12" s="2">
        <v>6605</v>
      </c>
      <c r="AA12" s="25">
        <f t="shared" si="8"/>
        <v>0.18686697221750692</v>
      </c>
      <c r="AB12" s="2">
        <f t="shared" si="9"/>
        <v>-270</v>
      </c>
      <c r="AC12" s="2">
        <v>37198</v>
      </c>
      <c r="AD12" s="2">
        <v>12538</v>
      </c>
      <c r="AE12" s="2">
        <v>9773</v>
      </c>
      <c r="AF12" s="25">
        <f t="shared" si="10"/>
        <v>0.26272917898811765</v>
      </c>
      <c r="AG12" s="2">
        <f t="shared" si="11"/>
        <v>-2765</v>
      </c>
      <c r="AH12" s="2">
        <v>49461</v>
      </c>
      <c r="AI12" s="2">
        <v>9607</v>
      </c>
      <c r="AJ12" s="2">
        <v>9212</v>
      </c>
      <c r="AK12" s="25">
        <f t="shared" si="12"/>
        <v>0.18624775075311861</v>
      </c>
      <c r="AL12" s="2"/>
      <c r="AM12" s="2">
        <v>103168</v>
      </c>
      <c r="AN12" s="2">
        <v>11661</v>
      </c>
      <c r="AO12" s="2">
        <v>12975</v>
      </c>
      <c r="AP12" s="25">
        <f t="shared" si="13"/>
        <v>0.12576574131513649</v>
      </c>
      <c r="AQ12" s="2"/>
      <c r="AR12" s="2">
        <v>144336</v>
      </c>
      <c r="AS12" s="2">
        <v>19073</v>
      </c>
      <c r="AT12" s="2">
        <v>17104</v>
      </c>
      <c r="AU12" s="25">
        <f t="shared" si="14"/>
        <v>0.1185012748032369</v>
      </c>
      <c r="AV12" s="2">
        <f t="shared" si="15"/>
        <v>-1969</v>
      </c>
      <c r="AW12" s="2">
        <v>126397</v>
      </c>
      <c r="AX12" s="2">
        <v>7824</v>
      </c>
      <c r="AY12" s="2">
        <v>10040</v>
      </c>
      <c r="AZ12" s="25">
        <f t="shared" si="16"/>
        <v>7.9432265006289707E-2</v>
      </c>
      <c r="BA12" s="2"/>
      <c r="BB12" s="2">
        <f t="shared" si="17"/>
        <v>734211</v>
      </c>
      <c r="BC12" s="2">
        <f t="shared" si="18"/>
        <v>149283</v>
      </c>
      <c r="BD12" s="2">
        <f t="shared" si="19"/>
        <v>146388</v>
      </c>
      <c r="BE12" s="25">
        <f t="shared" si="20"/>
        <v>0.19938137674319781</v>
      </c>
      <c r="BF12" s="2"/>
    </row>
    <row r="13" spans="1:58" x14ac:dyDescent="0.35">
      <c r="A13" s="6">
        <v>338748</v>
      </c>
      <c r="B13" s="6" t="s">
        <v>26</v>
      </c>
      <c r="C13" s="6" t="s">
        <v>11</v>
      </c>
      <c r="D13" s="6">
        <v>388</v>
      </c>
      <c r="E13" s="6">
        <v>114</v>
      </c>
      <c r="F13" s="6">
        <v>76</v>
      </c>
      <c r="G13" s="14">
        <f t="shared" si="0"/>
        <v>0.19587628865979381</v>
      </c>
      <c r="H13" s="6">
        <f t="shared" si="1"/>
        <v>-38</v>
      </c>
      <c r="I13" s="6">
        <v>622</v>
      </c>
      <c r="J13" s="6">
        <v>216</v>
      </c>
      <c r="K13" s="6">
        <v>70</v>
      </c>
      <c r="L13" s="14">
        <f t="shared" si="2"/>
        <v>0.11254019292604502</v>
      </c>
      <c r="M13" s="6">
        <f t="shared" si="3"/>
        <v>-146</v>
      </c>
      <c r="N13" s="6">
        <v>290</v>
      </c>
      <c r="O13" s="6">
        <v>47</v>
      </c>
      <c r="P13" s="6">
        <v>135</v>
      </c>
      <c r="Q13" s="14">
        <f t="shared" si="4"/>
        <v>0.46551724137931033</v>
      </c>
      <c r="R13" s="6">
        <f t="shared" si="5"/>
        <v>88</v>
      </c>
      <c r="S13" s="6">
        <v>2850</v>
      </c>
      <c r="T13" s="6">
        <v>85</v>
      </c>
      <c r="U13" s="6">
        <v>64</v>
      </c>
      <c r="V13" s="14">
        <f t="shared" si="6"/>
        <v>2.2456140350877191E-2</v>
      </c>
      <c r="W13" s="6">
        <f t="shared" si="7"/>
        <v>-21</v>
      </c>
      <c r="X13" s="2">
        <v>1161</v>
      </c>
      <c r="Y13" s="2">
        <v>18</v>
      </c>
      <c r="Z13" s="2">
        <v>42</v>
      </c>
      <c r="AA13" s="25">
        <f t="shared" si="8"/>
        <v>3.6175710594315243E-2</v>
      </c>
      <c r="AB13" s="2">
        <f t="shared" si="9"/>
        <v>24</v>
      </c>
      <c r="AC13" s="2">
        <v>3584</v>
      </c>
      <c r="AD13" s="2">
        <v>76</v>
      </c>
      <c r="AE13" s="2">
        <v>8</v>
      </c>
      <c r="AF13" s="25">
        <f t="shared" si="10"/>
        <v>2.232142857142857E-3</v>
      </c>
      <c r="AG13" s="2">
        <f t="shared" si="11"/>
        <v>-68</v>
      </c>
      <c r="AH13" s="2">
        <v>203</v>
      </c>
      <c r="AI13" s="2">
        <v>3</v>
      </c>
      <c r="AJ13" s="2">
        <v>4</v>
      </c>
      <c r="AK13" s="25">
        <f t="shared" si="12"/>
        <v>1.9704433497536946E-2</v>
      </c>
      <c r="AL13" s="2"/>
      <c r="AM13" s="2">
        <v>4953</v>
      </c>
      <c r="AN13" s="2">
        <v>80</v>
      </c>
      <c r="AO13" s="2">
        <v>21</v>
      </c>
      <c r="AP13" s="25">
        <f t="shared" si="13"/>
        <v>4.2398546335554212E-3</v>
      </c>
      <c r="AQ13" s="2"/>
      <c r="AR13" s="2">
        <v>11218</v>
      </c>
      <c r="AS13" s="2">
        <v>360</v>
      </c>
      <c r="AT13" s="2">
        <v>172</v>
      </c>
      <c r="AU13" s="25">
        <f t="shared" si="14"/>
        <v>1.5332501337136744E-2</v>
      </c>
      <c r="AV13" s="2">
        <f t="shared" si="15"/>
        <v>-188</v>
      </c>
      <c r="AW13" s="2">
        <v>3986</v>
      </c>
      <c r="AX13" s="2">
        <v>114</v>
      </c>
      <c r="AY13" s="2">
        <v>43</v>
      </c>
      <c r="AZ13" s="25">
        <f t="shared" si="16"/>
        <v>1.0787757150025088E-2</v>
      </c>
      <c r="BA13" s="2"/>
      <c r="BB13" s="2">
        <f t="shared" si="17"/>
        <v>29255</v>
      </c>
      <c r="BC13" s="2">
        <f t="shared" si="18"/>
        <v>1113</v>
      </c>
      <c r="BD13" s="2">
        <f t="shared" si="19"/>
        <v>635</v>
      </c>
      <c r="BE13" s="25">
        <f t="shared" si="20"/>
        <v>2.1705691334814561E-2</v>
      </c>
      <c r="BF13" s="2"/>
    </row>
    <row r="14" spans="1:58" x14ac:dyDescent="0.35">
      <c r="A14" s="6">
        <v>498419</v>
      </c>
      <c r="B14" s="6" t="s">
        <v>27</v>
      </c>
      <c r="C14" s="6" t="s">
        <v>11</v>
      </c>
      <c r="D14" s="6">
        <v>22808</v>
      </c>
      <c r="E14" s="6">
        <v>5069</v>
      </c>
      <c r="F14" s="6">
        <v>3781</v>
      </c>
      <c r="G14" s="14">
        <f t="shared" si="0"/>
        <v>0.16577516660820765</v>
      </c>
      <c r="H14" s="6">
        <f t="shared" si="1"/>
        <v>-1288</v>
      </c>
      <c r="I14" s="6">
        <v>15522</v>
      </c>
      <c r="J14" s="6">
        <v>6293</v>
      </c>
      <c r="K14" s="6">
        <v>5961</v>
      </c>
      <c r="L14" s="14">
        <f t="shared" si="2"/>
        <v>0.38403556242752224</v>
      </c>
      <c r="M14" s="6">
        <f t="shared" si="3"/>
        <v>-332</v>
      </c>
      <c r="N14" s="6">
        <v>19518</v>
      </c>
      <c r="O14" s="6">
        <v>4520</v>
      </c>
      <c r="P14" s="6">
        <v>3805</v>
      </c>
      <c r="Q14" s="14">
        <f t="shared" si="4"/>
        <v>0.19494825289476381</v>
      </c>
      <c r="R14" s="6">
        <f t="shared" si="5"/>
        <v>-715</v>
      </c>
      <c r="S14" s="6">
        <v>33704</v>
      </c>
      <c r="T14" s="6">
        <v>11601</v>
      </c>
      <c r="U14" s="6">
        <v>5088</v>
      </c>
      <c r="V14" s="14">
        <f t="shared" si="6"/>
        <v>0.15096131023023973</v>
      </c>
      <c r="W14" s="6">
        <f t="shared" si="7"/>
        <v>-6513</v>
      </c>
      <c r="X14" s="2">
        <v>51378</v>
      </c>
      <c r="Y14" s="2">
        <v>7960</v>
      </c>
      <c r="Z14" s="2">
        <v>3971</v>
      </c>
      <c r="AA14" s="25">
        <f t="shared" si="8"/>
        <v>7.7289890614659976E-2</v>
      </c>
      <c r="AB14" s="2">
        <f t="shared" si="9"/>
        <v>-3989</v>
      </c>
      <c r="AC14" s="2">
        <v>74140</v>
      </c>
      <c r="AD14" s="2">
        <v>10596</v>
      </c>
      <c r="AE14" s="2">
        <v>3624</v>
      </c>
      <c r="AF14" s="25">
        <f t="shared" si="10"/>
        <v>4.8880496358241168E-2</v>
      </c>
      <c r="AG14" s="2">
        <f t="shared" si="11"/>
        <v>-6972</v>
      </c>
      <c r="AH14" s="2">
        <v>82416</v>
      </c>
      <c r="AI14" s="2">
        <v>7444</v>
      </c>
      <c r="AJ14" s="2">
        <v>2703</v>
      </c>
      <c r="AK14" s="25">
        <f t="shared" si="12"/>
        <v>3.2797029702970298E-2</v>
      </c>
      <c r="AL14" s="2"/>
      <c r="AM14" s="2">
        <v>50566</v>
      </c>
      <c r="AN14" s="2">
        <v>2025</v>
      </c>
      <c r="AO14" s="2">
        <v>1154</v>
      </c>
      <c r="AP14" s="25">
        <f t="shared" si="13"/>
        <v>2.282165882213345E-2</v>
      </c>
      <c r="AQ14" s="2"/>
      <c r="AR14" s="2">
        <v>3892</v>
      </c>
      <c r="AS14" s="2">
        <v>2002</v>
      </c>
      <c r="AT14" s="2">
        <v>594</v>
      </c>
      <c r="AU14" s="25">
        <f t="shared" si="14"/>
        <v>0.15262076053442961</v>
      </c>
      <c r="AV14" s="2">
        <f t="shared" si="15"/>
        <v>-1408</v>
      </c>
      <c r="AW14" s="2">
        <v>8946</v>
      </c>
      <c r="AX14" s="2">
        <v>57</v>
      </c>
      <c r="AY14" s="2">
        <v>58</v>
      </c>
      <c r="AZ14" s="25">
        <f t="shared" si="16"/>
        <v>6.4833445115135254E-3</v>
      </c>
      <c r="BA14" s="2"/>
      <c r="BB14" s="2">
        <f t="shared" si="17"/>
        <v>362890</v>
      </c>
      <c r="BC14" s="2">
        <f t="shared" si="18"/>
        <v>57567</v>
      </c>
      <c r="BD14" s="2">
        <f t="shared" si="19"/>
        <v>30739</v>
      </c>
      <c r="BE14" s="25">
        <f t="shared" si="20"/>
        <v>8.4706109289316323E-2</v>
      </c>
      <c r="BF14" s="2"/>
    </row>
    <row r="15" spans="1:58" x14ac:dyDescent="0.35">
      <c r="A15" s="6">
        <v>239515</v>
      </c>
      <c r="B15" s="6" t="s">
        <v>28</v>
      </c>
      <c r="C15" s="6" t="s">
        <v>11</v>
      </c>
      <c r="D15" s="6">
        <v>47225</v>
      </c>
      <c r="E15" s="6">
        <v>10907</v>
      </c>
      <c r="F15" s="6">
        <v>7352</v>
      </c>
      <c r="G15" s="14">
        <f t="shared" si="0"/>
        <v>0.15568025410269984</v>
      </c>
      <c r="H15" s="6">
        <f t="shared" si="1"/>
        <v>-3555</v>
      </c>
      <c r="I15" s="6">
        <v>41257</v>
      </c>
      <c r="J15" s="6">
        <v>8311</v>
      </c>
      <c r="K15" s="6">
        <v>6679</v>
      </c>
      <c r="L15" s="14">
        <f t="shared" si="2"/>
        <v>0.16188767966648085</v>
      </c>
      <c r="M15" s="6">
        <f t="shared" si="3"/>
        <v>-1632</v>
      </c>
      <c r="N15" s="6">
        <v>147895</v>
      </c>
      <c r="O15" s="6">
        <v>128333</v>
      </c>
      <c r="P15" s="6">
        <v>127315</v>
      </c>
      <c r="Q15" s="14">
        <f t="shared" si="4"/>
        <v>0.86084722269177461</v>
      </c>
      <c r="R15" s="6">
        <f t="shared" si="5"/>
        <v>-1018</v>
      </c>
      <c r="S15" s="6">
        <v>39339</v>
      </c>
      <c r="T15" s="6">
        <v>5807</v>
      </c>
      <c r="U15" s="6">
        <v>4760</v>
      </c>
      <c r="V15" s="14">
        <f t="shared" si="6"/>
        <v>0.12099951701873458</v>
      </c>
      <c r="W15" s="6">
        <f t="shared" si="7"/>
        <v>-1047</v>
      </c>
      <c r="X15" s="2">
        <v>39398</v>
      </c>
      <c r="Y15" s="2">
        <v>9298</v>
      </c>
      <c r="Z15" s="2">
        <v>8475</v>
      </c>
      <c r="AA15" s="25">
        <f t="shared" si="8"/>
        <v>0.21511244225595208</v>
      </c>
      <c r="AB15" s="2">
        <f t="shared" si="9"/>
        <v>-823</v>
      </c>
      <c r="AC15" s="2">
        <v>24575</v>
      </c>
      <c r="AD15" s="2">
        <v>7168</v>
      </c>
      <c r="AE15" s="2">
        <v>6580</v>
      </c>
      <c r="AF15" s="25">
        <f t="shared" si="10"/>
        <v>0.26775178026449642</v>
      </c>
      <c r="AG15" s="2">
        <f t="shared" si="11"/>
        <v>-588</v>
      </c>
      <c r="AH15" s="2">
        <v>12321</v>
      </c>
      <c r="AI15" s="2">
        <v>1824</v>
      </c>
      <c r="AJ15" s="2">
        <v>1236</v>
      </c>
      <c r="AK15" s="25">
        <f t="shared" si="12"/>
        <v>0.10031653274896518</v>
      </c>
      <c r="AL15" s="2"/>
      <c r="AM15" s="2">
        <v>37221</v>
      </c>
      <c r="AN15" s="2">
        <v>4070</v>
      </c>
      <c r="AO15" s="2">
        <v>2748</v>
      </c>
      <c r="AP15" s="25">
        <f t="shared" si="13"/>
        <v>7.3829289916982344E-2</v>
      </c>
      <c r="AQ15" s="2"/>
      <c r="AR15" s="2">
        <v>29859</v>
      </c>
      <c r="AS15" s="2">
        <v>2866</v>
      </c>
      <c r="AT15" s="2">
        <v>2021</v>
      </c>
      <c r="AU15" s="25">
        <f t="shared" si="14"/>
        <v>6.7684785156904112E-2</v>
      </c>
      <c r="AV15" s="2">
        <f t="shared" si="15"/>
        <v>-845</v>
      </c>
      <c r="AW15" s="2">
        <v>30200</v>
      </c>
      <c r="AX15" s="2">
        <v>5965</v>
      </c>
      <c r="AY15" s="2">
        <v>5672</v>
      </c>
      <c r="AZ15" s="25">
        <f t="shared" si="16"/>
        <v>0.18781456953642384</v>
      </c>
      <c r="BA15" s="2"/>
      <c r="BB15" s="2">
        <f t="shared" si="17"/>
        <v>449290</v>
      </c>
      <c r="BC15" s="2">
        <f t="shared" si="18"/>
        <v>184549</v>
      </c>
      <c r="BD15" s="2">
        <f t="shared" si="19"/>
        <v>172838</v>
      </c>
      <c r="BE15" s="25">
        <f t="shared" si="20"/>
        <v>0.38469140198980611</v>
      </c>
      <c r="BF15" s="2"/>
    </row>
    <row r="16" spans="1:58" x14ac:dyDescent="0.35">
      <c r="A16" s="6">
        <v>245805</v>
      </c>
      <c r="B16" s="6" t="s">
        <v>29</v>
      </c>
      <c r="C16" s="6" t="s">
        <v>11</v>
      </c>
      <c r="D16" s="6">
        <v>10495</v>
      </c>
      <c r="E16" s="6">
        <v>1715</v>
      </c>
      <c r="F16" s="6">
        <v>1298</v>
      </c>
      <c r="G16" s="14">
        <f t="shared" si="0"/>
        <v>0.12367794187708432</v>
      </c>
      <c r="H16" s="6">
        <f t="shared" si="1"/>
        <v>-417</v>
      </c>
      <c r="I16" s="6">
        <v>22593</v>
      </c>
      <c r="J16" s="6">
        <v>2436</v>
      </c>
      <c r="K16" s="6">
        <v>1899</v>
      </c>
      <c r="L16" s="14">
        <f t="shared" si="2"/>
        <v>8.4052582658345504E-2</v>
      </c>
      <c r="M16" s="6">
        <f t="shared" si="3"/>
        <v>-537</v>
      </c>
      <c r="N16" s="6">
        <v>21713</v>
      </c>
      <c r="O16" s="6">
        <v>3413</v>
      </c>
      <c r="P16" s="6">
        <v>2431</v>
      </c>
      <c r="Q16" s="14">
        <f t="shared" si="4"/>
        <v>0.11196057661308893</v>
      </c>
      <c r="R16" s="6">
        <f t="shared" si="5"/>
        <v>-982</v>
      </c>
      <c r="S16" s="6">
        <v>32534</v>
      </c>
      <c r="T16" s="6">
        <v>5493</v>
      </c>
      <c r="U16" s="6">
        <v>4832</v>
      </c>
      <c r="V16" s="14">
        <f t="shared" si="6"/>
        <v>0.14852154668961701</v>
      </c>
      <c r="W16" s="6">
        <f t="shared" si="7"/>
        <v>-661</v>
      </c>
      <c r="X16" s="2">
        <v>17612</v>
      </c>
      <c r="Y16" s="2">
        <v>2541</v>
      </c>
      <c r="Z16" s="2">
        <v>2726</v>
      </c>
      <c r="AA16" s="25">
        <f t="shared" si="8"/>
        <v>0.15478083125141948</v>
      </c>
      <c r="AB16" s="2">
        <f t="shared" si="9"/>
        <v>185</v>
      </c>
      <c r="AC16" s="2">
        <v>4928</v>
      </c>
      <c r="AD16" s="2">
        <v>1248</v>
      </c>
      <c r="AE16" s="2">
        <v>1196</v>
      </c>
      <c r="AF16" s="25">
        <f t="shared" si="10"/>
        <v>0.24269480519480519</v>
      </c>
      <c r="AG16" s="2">
        <f t="shared" si="11"/>
        <v>-52</v>
      </c>
      <c r="AH16" s="2">
        <v>71804</v>
      </c>
      <c r="AI16" s="2">
        <v>4140</v>
      </c>
      <c r="AJ16" s="2">
        <v>3923</v>
      </c>
      <c r="AK16" s="25">
        <f t="shared" si="12"/>
        <v>5.4634839284719516E-2</v>
      </c>
      <c r="AL16" s="2"/>
      <c r="AM16" s="2">
        <v>55033</v>
      </c>
      <c r="AN16" s="2">
        <v>15036</v>
      </c>
      <c r="AO16" s="2">
        <v>4642</v>
      </c>
      <c r="AP16" s="25">
        <f t="shared" si="13"/>
        <v>8.4349390365780527E-2</v>
      </c>
      <c r="AQ16" s="2"/>
      <c r="AR16" s="2">
        <v>28241</v>
      </c>
      <c r="AS16" s="2">
        <v>3508</v>
      </c>
      <c r="AT16" s="2">
        <v>1737</v>
      </c>
      <c r="AU16" s="25">
        <f t="shared" si="14"/>
        <v>6.1506320597712542E-2</v>
      </c>
      <c r="AV16" s="2">
        <f t="shared" si="15"/>
        <v>-1771</v>
      </c>
      <c r="AW16" s="2">
        <v>14508</v>
      </c>
      <c r="AX16" s="2">
        <v>515</v>
      </c>
      <c r="AY16" s="2">
        <v>419</v>
      </c>
      <c r="AZ16" s="25">
        <f t="shared" si="16"/>
        <v>2.8880617590295008E-2</v>
      </c>
      <c r="BA16" s="2"/>
      <c r="BB16" s="2">
        <f t="shared" si="17"/>
        <v>279461</v>
      </c>
      <c r="BC16" s="2">
        <f t="shared" si="18"/>
        <v>40045</v>
      </c>
      <c r="BD16" s="2">
        <f t="shared" si="19"/>
        <v>25103</v>
      </c>
      <c r="BE16" s="25">
        <f t="shared" si="20"/>
        <v>8.9826487416848858E-2</v>
      </c>
      <c r="BF16" s="2"/>
    </row>
    <row r="17" spans="1:58" x14ac:dyDescent="0.35">
      <c r="A17" s="6">
        <v>213405</v>
      </c>
      <c r="B17" s="6" t="s">
        <v>30</v>
      </c>
      <c r="C17" s="6" t="s">
        <v>11</v>
      </c>
      <c r="D17" s="6">
        <v>8071</v>
      </c>
      <c r="E17" s="6">
        <v>1410</v>
      </c>
      <c r="F17" s="6">
        <v>963</v>
      </c>
      <c r="G17" s="14">
        <f t="shared" si="0"/>
        <v>0.11931606987981663</v>
      </c>
      <c r="H17" s="6">
        <f t="shared" si="1"/>
        <v>-447</v>
      </c>
      <c r="I17" s="6">
        <v>13189</v>
      </c>
      <c r="J17" s="6">
        <v>2037</v>
      </c>
      <c r="K17" s="6">
        <v>616</v>
      </c>
      <c r="L17" s="14">
        <f t="shared" si="2"/>
        <v>4.6705587989991658E-2</v>
      </c>
      <c r="M17" s="6">
        <f t="shared" si="3"/>
        <v>-1421</v>
      </c>
      <c r="N17" s="6">
        <v>20992</v>
      </c>
      <c r="O17" s="6">
        <v>3858</v>
      </c>
      <c r="P17" s="6">
        <v>1567</v>
      </c>
      <c r="Q17" s="14">
        <f t="shared" si="4"/>
        <v>7.464748475609756E-2</v>
      </c>
      <c r="R17" s="6">
        <f t="shared" si="5"/>
        <v>-2291</v>
      </c>
      <c r="S17" s="6">
        <v>45504</v>
      </c>
      <c r="T17" s="6">
        <v>13360</v>
      </c>
      <c r="U17" s="6">
        <v>9033</v>
      </c>
      <c r="V17" s="14">
        <f t="shared" si="6"/>
        <v>0.19851002109704641</v>
      </c>
      <c r="W17" s="6">
        <f t="shared" si="7"/>
        <v>-4327</v>
      </c>
      <c r="X17" s="2">
        <v>22963</v>
      </c>
      <c r="Y17" s="2">
        <v>3970</v>
      </c>
      <c r="Z17" s="2">
        <v>2896</v>
      </c>
      <c r="AA17" s="25">
        <f t="shared" si="8"/>
        <v>0.12611592561947479</v>
      </c>
      <c r="AB17" s="2">
        <f t="shared" si="9"/>
        <v>-1074</v>
      </c>
      <c r="AC17" s="2">
        <v>12428</v>
      </c>
      <c r="AD17" s="2">
        <v>699</v>
      </c>
      <c r="AE17" s="2">
        <v>477</v>
      </c>
      <c r="AF17" s="25">
        <f t="shared" si="10"/>
        <v>3.8381074991953652E-2</v>
      </c>
      <c r="AG17" s="2">
        <f t="shared" si="11"/>
        <v>-222</v>
      </c>
      <c r="AH17" s="2">
        <v>14689</v>
      </c>
      <c r="AI17" s="2">
        <v>875</v>
      </c>
      <c r="AJ17" s="2">
        <v>485</v>
      </c>
      <c r="AK17" s="25">
        <f t="shared" si="12"/>
        <v>3.3017904554428483E-2</v>
      </c>
      <c r="AL17" s="2"/>
      <c r="AM17" s="2">
        <v>34322</v>
      </c>
      <c r="AN17" s="2">
        <v>1538</v>
      </c>
      <c r="AO17" s="2">
        <v>881</v>
      </c>
      <c r="AP17" s="25">
        <f t="shared" si="13"/>
        <v>2.5668667327078842E-2</v>
      </c>
      <c r="AQ17" s="2"/>
      <c r="AR17" s="2">
        <v>30310</v>
      </c>
      <c r="AS17" s="2">
        <v>455</v>
      </c>
      <c r="AT17" s="2">
        <v>177</v>
      </c>
      <c r="AU17" s="25">
        <f t="shared" si="14"/>
        <v>5.8396568789178486E-3</v>
      </c>
      <c r="AV17" s="2">
        <f t="shared" si="15"/>
        <v>-278</v>
      </c>
      <c r="AW17" s="2">
        <v>23867</v>
      </c>
      <c r="AX17" s="2">
        <v>618</v>
      </c>
      <c r="AY17" s="2">
        <v>351</v>
      </c>
      <c r="AZ17" s="25">
        <f t="shared" si="16"/>
        <v>1.4706498512590606E-2</v>
      </c>
      <c r="BA17" s="2"/>
      <c r="BB17" s="2">
        <f t="shared" si="17"/>
        <v>226335</v>
      </c>
      <c r="BC17" s="2">
        <f t="shared" si="18"/>
        <v>28820</v>
      </c>
      <c r="BD17" s="2">
        <f t="shared" si="19"/>
        <v>17446</v>
      </c>
      <c r="BE17" s="25">
        <f t="shared" si="20"/>
        <v>7.7080433870148235E-2</v>
      </c>
      <c r="BF17" s="2"/>
    </row>
    <row r="18" spans="1:58" x14ac:dyDescent="0.35">
      <c r="A18" s="6">
        <v>382186</v>
      </c>
      <c r="B18" s="6" t="s">
        <v>31</v>
      </c>
      <c r="C18" s="6" t="s">
        <v>11</v>
      </c>
      <c r="D18" s="6">
        <v>25217</v>
      </c>
      <c r="E18" s="6">
        <v>3199</v>
      </c>
      <c r="F18" s="6">
        <v>2991</v>
      </c>
      <c r="G18" s="14">
        <f t="shared" si="0"/>
        <v>0.11861046119681168</v>
      </c>
      <c r="H18" s="6">
        <f t="shared" si="1"/>
        <v>-208</v>
      </c>
      <c r="I18" s="6">
        <v>17215</v>
      </c>
      <c r="J18" s="6">
        <v>3320</v>
      </c>
      <c r="K18" s="6">
        <v>2184</v>
      </c>
      <c r="L18" s="14">
        <f t="shared" si="2"/>
        <v>0.12686610514086552</v>
      </c>
      <c r="M18" s="6">
        <f t="shared" si="3"/>
        <v>-1136</v>
      </c>
      <c r="N18" s="6">
        <v>23594</v>
      </c>
      <c r="O18" s="6">
        <v>1618</v>
      </c>
      <c r="P18" s="6">
        <v>2188</v>
      </c>
      <c r="Q18" s="14">
        <f t="shared" si="4"/>
        <v>9.2735441213867939E-2</v>
      </c>
      <c r="R18" s="6">
        <f t="shared" si="5"/>
        <v>570</v>
      </c>
      <c r="S18" s="6">
        <v>18239</v>
      </c>
      <c r="T18" s="6">
        <v>2135</v>
      </c>
      <c r="U18" s="6">
        <v>1707</v>
      </c>
      <c r="V18" s="14">
        <f t="shared" si="6"/>
        <v>9.359065738253193E-2</v>
      </c>
      <c r="W18" s="6">
        <f t="shared" si="7"/>
        <v>-428</v>
      </c>
      <c r="X18" s="2">
        <v>21752</v>
      </c>
      <c r="Y18" s="2">
        <v>1685</v>
      </c>
      <c r="Z18" s="2">
        <v>1624</v>
      </c>
      <c r="AA18" s="25">
        <f t="shared" si="8"/>
        <v>7.4659801397572639E-2</v>
      </c>
      <c r="AB18" s="2">
        <f t="shared" si="9"/>
        <v>-61</v>
      </c>
      <c r="AC18" s="2">
        <v>21066</v>
      </c>
      <c r="AD18" s="2">
        <v>1214</v>
      </c>
      <c r="AE18" s="2">
        <v>1197</v>
      </c>
      <c r="AF18" s="25">
        <f t="shared" si="10"/>
        <v>5.6821418399316433E-2</v>
      </c>
      <c r="AG18" s="2">
        <f t="shared" si="11"/>
        <v>-17</v>
      </c>
      <c r="AH18" s="2">
        <v>42034</v>
      </c>
      <c r="AI18" s="2">
        <v>1254</v>
      </c>
      <c r="AJ18" s="2">
        <v>1031</v>
      </c>
      <c r="AK18" s="25">
        <f t="shared" si="12"/>
        <v>2.4527763239282487E-2</v>
      </c>
      <c r="AL18" s="2"/>
      <c r="AM18" s="2">
        <v>54264</v>
      </c>
      <c r="AN18" s="2">
        <v>894</v>
      </c>
      <c r="AO18" s="2">
        <v>433</v>
      </c>
      <c r="AP18" s="25">
        <f t="shared" si="13"/>
        <v>7.9795075925106883E-3</v>
      </c>
      <c r="AQ18" s="2"/>
      <c r="AR18" s="2">
        <v>29991</v>
      </c>
      <c r="AS18" s="2">
        <v>1617</v>
      </c>
      <c r="AT18" s="2">
        <v>813</v>
      </c>
      <c r="AU18" s="25">
        <f t="shared" si="14"/>
        <v>2.7108132439731921E-2</v>
      </c>
      <c r="AV18" s="2">
        <f t="shared" si="15"/>
        <v>-804</v>
      </c>
      <c r="AW18" s="2">
        <v>30167</v>
      </c>
      <c r="AX18" s="2">
        <v>2225</v>
      </c>
      <c r="AY18" s="2">
        <v>971</v>
      </c>
      <c r="AZ18" s="25">
        <f t="shared" si="16"/>
        <v>3.2187489640998442E-2</v>
      </c>
      <c r="BA18" s="2"/>
      <c r="BB18" s="2">
        <f t="shared" si="17"/>
        <v>283539</v>
      </c>
      <c r="BC18" s="2">
        <f t="shared" si="18"/>
        <v>19161</v>
      </c>
      <c r="BD18" s="2">
        <f t="shared" si="19"/>
        <v>15139</v>
      </c>
      <c r="BE18" s="25">
        <f t="shared" si="20"/>
        <v>5.3393007663848711E-2</v>
      </c>
      <c r="BF18" s="2"/>
    </row>
    <row r="19" spans="1:58" x14ac:dyDescent="0.35">
      <c r="A19" s="6">
        <v>326433</v>
      </c>
      <c r="B19" s="6" t="s">
        <v>32</v>
      </c>
      <c r="C19" s="6" t="s">
        <v>11</v>
      </c>
      <c r="D19" s="6">
        <v>1318</v>
      </c>
      <c r="E19" s="6">
        <v>144</v>
      </c>
      <c r="F19" s="6">
        <v>144</v>
      </c>
      <c r="G19" s="14">
        <f t="shared" si="0"/>
        <v>0.10925644916540213</v>
      </c>
      <c r="H19" s="6">
        <f t="shared" si="1"/>
        <v>0</v>
      </c>
      <c r="I19" s="6">
        <v>1100</v>
      </c>
      <c r="J19" s="6">
        <v>125</v>
      </c>
      <c r="K19" s="6">
        <v>125</v>
      </c>
      <c r="L19" s="14">
        <f t="shared" si="2"/>
        <v>0.11363636363636363</v>
      </c>
      <c r="M19" s="6">
        <f t="shared" si="3"/>
        <v>0</v>
      </c>
      <c r="N19" s="6">
        <v>82</v>
      </c>
      <c r="O19" s="6">
        <v>82</v>
      </c>
      <c r="P19" s="6">
        <v>82</v>
      </c>
      <c r="Q19" s="14">
        <f t="shared" si="4"/>
        <v>1</v>
      </c>
      <c r="R19" s="6">
        <f t="shared" si="5"/>
        <v>0</v>
      </c>
      <c r="S19" s="6">
        <v>108</v>
      </c>
      <c r="T19" s="6">
        <v>108</v>
      </c>
      <c r="U19" s="6">
        <v>108</v>
      </c>
      <c r="V19" s="14">
        <f t="shared" si="6"/>
        <v>1</v>
      </c>
      <c r="W19" s="6">
        <f t="shared" si="7"/>
        <v>0</v>
      </c>
      <c r="X19" s="2">
        <v>66</v>
      </c>
      <c r="Y19" s="2">
        <v>66</v>
      </c>
      <c r="Z19" s="2">
        <v>66</v>
      </c>
      <c r="AA19" s="25">
        <f t="shared" si="8"/>
        <v>1</v>
      </c>
      <c r="AB19" s="2">
        <f t="shared" si="9"/>
        <v>0</v>
      </c>
      <c r="AC19" s="2">
        <v>4152</v>
      </c>
      <c r="AD19" s="2">
        <v>2107</v>
      </c>
      <c r="AE19" s="2">
        <v>2818</v>
      </c>
      <c r="AF19" s="25">
        <f t="shared" si="10"/>
        <v>0.67870905587668595</v>
      </c>
      <c r="AG19" s="2">
        <f t="shared" si="11"/>
        <v>711</v>
      </c>
      <c r="AH19" s="2">
        <v>48349</v>
      </c>
      <c r="AI19" s="2">
        <v>42987</v>
      </c>
      <c r="AJ19" s="2">
        <v>43857</v>
      </c>
      <c r="AK19" s="25">
        <f t="shared" si="12"/>
        <v>0.90709218391280066</v>
      </c>
      <c r="AL19" s="2"/>
      <c r="AM19" s="2">
        <v>158799</v>
      </c>
      <c r="AN19" s="2">
        <v>129706</v>
      </c>
      <c r="AO19" s="2">
        <v>102377</v>
      </c>
      <c r="AP19" s="25">
        <f t="shared" si="13"/>
        <v>0.64469549556357408</v>
      </c>
      <c r="AQ19" s="2"/>
      <c r="AR19" s="2">
        <v>5110</v>
      </c>
      <c r="AS19" s="2">
        <v>829</v>
      </c>
      <c r="AT19" s="2">
        <v>822</v>
      </c>
      <c r="AU19" s="25">
        <f t="shared" si="14"/>
        <v>0.16086105675146772</v>
      </c>
      <c r="AV19" s="2">
        <f t="shared" si="15"/>
        <v>-7</v>
      </c>
      <c r="AW19" s="2">
        <v>3583</v>
      </c>
      <c r="AX19" s="2">
        <v>415</v>
      </c>
      <c r="AY19" s="2">
        <v>356</v>
      </c>
      <c r="AZ19" s="25">
        <f t="shared" si="16"/>
        <v>9.9358079821378731E-2</v>
      </c>
      <c r="BA19" s="2"/>
      <c r="BB19" s="2">
        <f t="shared" si="17"/>
        <v>222667</v>
      </c>
      <c r="BC19" s="2">
        <f t="shared" si="18"/>
        <v>176569</v>
      </c>
      <c r="BD19" s="2">
        <f t="shared" si="19"/>
        <v>150755</v>
      </c>
      <c r="BE19" s="25">
        <f t="shared" si="20"/>
        <v>0.67704239963712631</v>
      </c>
      <c r="BF19" s="2"/>
    </row>
    <row r="20" spans="1:58" x14ac:dyDescent="0.35">
      <c r="A20" s="6">
        <v>233930</v>
      </c>
      <c r="B20" s="6" t="s">
        <v>33</v>
      </c>
      <c r="C20" s="6" t="s">
        <v>11</v>
      </c>
      <c r="D20" s="6">
        <v>2387</v>
      </c>
      <c r="E20" s="6">
        <v>390</v>
      </c>
      <c r="F20" s="6">
        <v>251</v>
      </c>
      <c r="G20" s="14">
        <f t="shared" si="0"/>
        <v>0.1051529116045245</v>
      </c>
      <c r="H20" s="6">
        <f t="shared" si="1"/>
        <v>-139</v>
      </c>
      <c r="I20" s="6">
        <v>2108</v>
      </c>
      <c r="J20" s="6">
        <v>496</v>
      </c>
      <c r="K20" s="6">
        <v>560</v>
      </c>
      <c r="L20" s="14">
        <f t="shared" si="2"/>
        <v>0.26565464895635671</v>
      </c>
      <c r="M20" s="6">
        <f t="shared" si="3"/>
        <v>64</v>
      </c>
      <c r="N20" s="6">
        <v>4927</v>
      </c>
      <c r="O20" s="6">
        <v>242</v>
      </c>
      <c r="P20" s="6">
        <v>235</v>
      </c>
      <c r="Q20" s="14">
        <f t="shared" si="4"/>
        <v>4.7696366957580678E-2</v>
      </c>
      <c r="R20" s="6">
        <f t="shared" si="5"/>
        <v>-7</v>
      </c>
      <c r="S20" s="6">
        <v>5808</v>
      </c>
      <c r="T20" s="6">
        <v>226</v>
      </c>
      <c r="U20" s="6">
        <v>64</v>
      </c>
      <c r="V20" s="14">
        <f t="shared" si="6"/>
        <v>1.1019283746556474E-2</v>
      </c>
      <c r="W20" s="6">
        <f t="shared" si="7"/>
        <v>-162</v>
      </c>
      <c r="X20" s="2">
        <v>4035</v>
      </c>
      <c r="Y20" s="2">
        <v>78</v>
      </c>
      <c r="Z20" s="2">
        <v>59</v>
      </c>
      <c r="AA20" s="25">
        <f t="shared" si="8"/>
        <v>1.4622057001239157E-2</v>
      </c>
      <c r="AB20" s="2">
        <f t="shared" si="9"/>
        <v>-19</v>
      </c>
      <c r="AC20" s="2">
        <v>10225</v>
      </c>
      <c r="AD20" s="2">
        <v>444</v>
      </c>
      <c r="AE20" s="2">
        <v>335</v>
      </c>
      <c r="AF20" s="25">
        <f t="shared" si="10"/>
        <v>3.2762836185819072E-2</v>
      </c>
      <c r="AG20" s="2">
        <f t="shared" si="11"/>
        <v>-109</v>
      </c>
      <c r="AH20" s="2">
        <v>18580</v>
      </c>
      <c r="AI20" s="2">
        <v>364</v>
      </c>
      <c r="AJ20" s="2">
        <v>307</v>
      </c>
      <c r="AK20" s="25">
        <f t="shared" si="12"/>
        <v>1.6523143164693218E-2</v>
      </c>
      <c r="AL20" s="2"/>
      <c r="AM20" s="2">
        <v>10002</v>
      </c>
      <c r="AN20" s="2">
        <v>324</v>
      </c>
      <c r="AO20" s="2">
        <v>115</v>
      </c>
      <c r="AP20" s="25">
        <f t="shared" si="13"/>
        <v>1.1497700459908019E-2</v>
      </c>
      <c r="AQ20" s="2"/>
      <c r="AR20" s="2">
        <v>40424</v>
      </c>
      <c r="AS20" s="2">
        <v>1834</v>
      </c>
      <c r="AT20" s="2">
        <v>1299</v>
      </c>
      <c r="AU20" s="25">
        <f t="shared" si="14"/>
        <v>3.213437561844449E-2</v>
      </c>
      <c r="AV20" s="2">
        <f t="shared" si="15"/>
        <v>-535</v>
      </c>
      <c r="AW20" s="2">
        <v>27481</v>
      </c>
      <c r="AX20" s="2">
        <v>2725</v>
      </c>
      <c r="AY20" s="2">
        <v>1657</v>
      </c>
      <c r="AZ20" s="25">
        <f t="shared" si="16"/>
        <v>6.0296204650485789E-2</v>
      </c>
      <c r="BA20" s="2"/>
      <c r="BB20" s="2">
        <f t="shared" si="17"/>
        <v>125977</v>
      </c>
      <c r="BC20" s="2">
        <f t="shared" si="18"/>
        <v>7123</v>
      </c>
      <c r="BD20" s="2">
        <f t="shared" si="19"/>
        <v>4882</v>
      </c>
      <c r="BE20" s="25">
        <f t="shared" si="20"/>
        <v>3.8753105725648336E-2</v>
      </c>
      <c r="BF20" s="2"/>
    </row>
    <row r="21" spans="1:58" x14ac:dyDescent="0.35">
      <c r="A21" s="6">
        <v>220338</v>
      </c>
      <c r="B21" s="6" t="s">
        <v>34</v>
      </c>
      <c r="C21" s="6" t="s">
        <v>11</v>
      </c>
      <c r="D21" s="6">
        <v>32434</v>
      </c>
      <c r="E21" s="6">
        <v>4545</v>
      </c>
      <c r="F21" s="6">
        <v>3378</v>
      </c>
      <c r="G21" s="14">
        <f t="shared" si="0"/>
        <v>0.10414996608497255</v>
      </c>
      <c r="H21" s="6">
        <f t="shared" si="1"/>
        <v>-1167</v>
      </c>
      <c r="I21" s="6">
        <v>19879</v>
      </c>
      <c r="J21" s="6">
        <v>4314</v>
      </c>
      <c r="K21" s="6">
        <v>3320</v>
      </c>
      <c r="L21" s="14">
        <f t="shared" si="2"/>
        <v>0.16701041299864178</v>
      </c>
      <c r="M21" s="6">
        <f t="shared" si="3"/>
        <v>-994</v>
      </c>
      <c r="N21" s="6">
        <v>32871</v>
      </c>
      <c r="O21" s="6">
        <v>9888</v>
      </c>
      <c r="P21" s="6">
        <v>7867</v>
      </c>
      <c r="Q21" s="14">
        <f t="shared" si="4"/>
        <v>0.23932950016732074</v>
      </c>
      <c r="R21" s="6">
        <f t="shared" si="5"/>
        <v>-2021</v>
      </c>
      <c r="S21" s="6">
        <v>32766</v>
      </c>
      <c r="T21" s="6">
        <v>8786</v>
      </c>
      <c r="U21" s="6">
        <v>5399</v>
      </c>
      <c r="V21" s="14">
        <f t="shared" si="6"/>
        <v>0.1647744613318684</v>
      </c>
      <c r="W21" s="6">
        <f t="shared" si="7"/>
        <v>-3387</v>
      </c>
      <c r="X21" s="2">
        <v>33845</v>
      </c>
      <c r="Y21" s="2">
        <v>5798</v>
      </c>
      <c r="Z21" s="2">
        <v>5745</v>
      </c>
      <c r="AA21" s="25">
        <f t="shared" si="8"/>
        <v>0.16974442310533314</v>
      </c>
      <c r="AB21" s="2">
        <f t="shared" si="9"/>
        <v>-53</v>
      </c>
      <c r="AC21" s="2">
        <v>21749</v>
      </c>
      <c r="AD21" s="2">
        <v>4072</v>
      </c>
      <c r="AE21" s="2">
        <v>3677</v>
      </c>
      <c r="AF21" s="25">
        <f t="shared" si="10"/>
        <v>0.1690652443790519</v>
      </c>
      <c r="AG21" s="2">
        <f t="shared" si="11"/>
        <v>-395</v>
      </c>
      <c r="AH21" s="2">
        <v>28225</v>
      </c>
      <c r="AI21" s="2">
        <v>1216</v>
      </c>
      <c r="AJ21" s="2">
        <v>821</v>
      </c>
      <c r="AK21" s="25">
        <f t="shared" si="12"/>
        <v>2.908768821966342E-2</v>
      </c>
      <c r="AL21" s="2"/>
      <c r="AM21" s="2">
        <v>8044</v>
      </c>
      <c r="AN21" s="2">
        <v>145</v>
      </c>
      <c r="AO21" s="2">
        <v>83</v>
      </c>
      <c r="AP21" s="25">
        <f t="shared" si="13"/>
        <v>1.0318249627051218E-2</v>
      </c>
      <c r="AQ21" s="2"/>
      <c r="AR21" s="2">
        <v>10801</v>
      </c>
      <c r="AS21" s="2">
        <v>1146</v>
      </c>
      <c r="AT21" s="2">
        <v>782</v>
      </c>
      <c r="AU21" s="25">
        <f t="shared" si="14"/>
        <v>7.2400703638551986E-2</v>
      </c>
      <c r="AV21" s="2">
        <f t="shared" si="15"/>
        <v>-364</v>
      </c>
      <c r="AW21" s="2">
        <v>4736</v>
      </c>
      <c r="AX21" s="2">
        <v>775</v>
      </c>
      <c r="AY21" s="2">
        <v>889</v>
      </c>
      <c r="AZ21" s="25">
        <f t="shared" si="16"/>
        <v>0.18771114864864866</v>
      </c>
      <c r="BA21" s="2"/>
      <c r="BB21" s="2">
        <f t="shared" si="17"/>
        <v>225350</v>
      </c>
      <c r="BC21" s="2">
        <f t="shared" si="18"/>
        <v>40685</v>
      </c>
      <c r="BD21" s="2">
        <f t="shared" si="19"/>
        <v>31961</v>
      </c>
      <c r="BE21" s="25">
        <f t="shared" si="20"/>
        <v>0.14182826714000443</v>
      </c>
      <c r="BF21" s="2"/>
    </row>
    <row r="22" spans="1:58" x14ac:dyDescent="0.35">
      <c r="A22" s="6">
        <v>422074</v>
      </c>
      <c r="B22" s="6" t="s">
        <v>36</v>
      </c>
      <c r="C22" s="6" t="s">
        <v>11</v>
      </c>
      <c r="D22" s="6">
        <v>2420</v>
      </c>
      <c r="E22" s="6">
        <v>318</v>
      </c>
      <c r="F22" s="6">
        <v>247</v>
      </c>
      <c r="G22" s="14">
        <f t="shared" si="0"/>
        <v>0.10206611570247934</v>
      </c>
      <c r="H22" s="6">
        <f t="shared" si="1"/>
        <v>-71</v>
      </c>
      <c r="I22" s="6">
        <v>1163</v>
      </c>
      <c r="J22" s="6">
        <v>134</v>
      </c>
      <c r="K22" s="6">
        <v>104</v>
      </c>
      <c r="L22" s="14">
        <f t="shared" si="2"/>
        <v>8.9423903697334481E-2</v>
      </c>
      <c r="M22" s="6">
        <f t="shared" si="3"/>
        <v>-30</v>
      </c>
      <c r="N22" s="6">
        <v>7973</v>
      </c>
      <c r="O22" s="6">
        <v>5839</v>
      </c>
      <c r="P22" s="6">
        <v>5562</v>
      </c>
      <c r="Q22" s="14">
        <f t="shared" si="4"/>
        <v>0.69760441490028846</v>
      </c>
      <c r="R22" s="6">
        <f t="shared" si="5"/>
        <v>-277</v>
      </c>
      <c r="S22" s="6">
        <v>3753</v>
      </c>
      <c r="T22" s="6">
        <v>710</v>
      </c>
      <c r="U22" s="6">
        <v>630</v>
      </c>
      <c r="V22" s="14">
        <f t="shared" si="6"/>
        <v>0.16786570743405277</v>
      </c>
      <c r="W22" s="6">
        <f t="shared" si="7"/>
        <v>-80</v>
      </c>
      <c r="X22" s="2">
        <v>4381</v>
      </c>
      <c r="Y22" s="2">
        <v>244</v>
      </c>
      <c r="Z22" s="2">
        <v>329</v>
      </c>
      <c r="AA22" s="25">
        <f t="shared" si="8"/>
        <v>7.5097009815110707E-2</v>
      </c>
      <c r="AB22" s="2">
        <f t="shared" si="9"/>
        <v>85</v>
      </c>
      <c r="AC22" s="2">
        <v>9374</v>
      </c>
      <c r="AD22" s="2">
        <v>736</v>
      </c>
      <c r="AE22" s="2">
        <v>529</v>
      </c>
      <c r="AF22" s="25">
        <f t="shared" si="10"/>
        <v>5.6432686153189672E-2</v>
      </c>
      <c r="AG22" s="2">
        <f t="shared" si="11"/>
        <v>-207</v>
      </c>
      <c r="AH22" s="2">
        <v>11364</v>
      </c>
      <c r="AI22" s="2">
        <v>934</v>
      </c>
      <c r="AJ22" s="2">
        <v>1371</v>
      </c>
      <c r="AK22" s="25">
        <f t="shared" si="12"/>
        <v>0.1206441393875396</v>
      </c>
      <c r="AL22" s="2"/>
      <c r="AM22" s="2">
        <v>87606</v>
      </c>
      <c r="AN22" s="2">
        <v>54494</v>
      </c>
      <c r="AO22" s="2">
        <v>67924</v>
      </c>
      <c r="AP22" s="25">
        <f t="shared" si="13"/>
        <v>0.77533502271533916</v>
      </c>
      <c r="AQ22" s="2"/>
      <c r="AR22" s="2">
        <v>3995</v>
      </c>
      <c r="AS22" s="2">
        <v>784</v>
      </c>
      <c r="AT22" s="2">
        <v>673</v>
      </c>
      <c r="AU22" s="25">
        <f t="shared" si="14"/>
        <v>0.16846057571964956</v>
      </c>
      <c r="AV22" s="2">
        <f t="shared" si="15"/>
        <v>-111</v>
      </c>
      <c r="AW22" s="2">
        <v>6783</v>
      </c>
      <c r="AX22" s="2">
        <v>381</v>
      </c>
      <c r="AY22" s="2">
        <v>279</v>
      </c>
      <c r="AZ22" s="25">
        <f t="shared" si="16"/>
        <v>4.1132242370632462E-2</v>
      </c>
      <c r="BA22" s="2"/>
      <c r="BB22" s="2">
        <f t="shared" si="17"/>
        <v>138812</v>
      </c>
      <c r="BC22" s="2">
        <f t="shared" si="18"/>
        <v>64574</v>
      </c>
      <c r="BD22" s="2">
        <f t="shared" si="19"/>
        <v>77648</v>
      </c>
      <c r="BE22" s="25">
        <f t="shared" si="20"/>
        <v>0.55937527014955479</v>
      </c>
      <c r="BF22" s="2"/>
    </row>
    <row r="23" spans="1:58" x14ac:dyDescent="0.35">
      <c r="A23" s="6">
        <v>553982</v>
      </c>
      <c r="B23" s="6" t="s">
        <v>37</v>
      </c>
      <c r="C23" s="6" t="s">
        <v>11</v>
      </c>
      <c r="D23" s="6">
        <v>2159</v>
      </c>
      <c r="E23" s="6">
        <v>259</v>
      </c>
      <c r="F23" s="6">
        <v>189</v>
      </c>
      <c r="G23" s="14">
        <f t="shared" si="0"/>
        <v>8.7540528022232514E-2</v>
      </c>
      <c r="H23" s="6">
        <f t="shared" si="1"/>
        <v>-70</v>
      </c>
      <c r="I23" s="6">
        <v>647</v>
      </c>
      <c r="J23" s="6">
        <v>148</v>
      </c>
      <c r="K23" s="6">
        <v>108</v>
      </c>
      <c r="L23" s="14">
        <f t="shared" si="2"/>
        <v>0.16692426584234932</v>
      </c>
      <c r="M23" s="6">
        <f t="shared" si="3"/>
        <v>-40</v>
      </c>
      <c r="N23" s="6">
        <v>12</v>
      </c>
      <c r="O23" s="6">
        <v>12</v>
      </c>
      <c r="P23" s="6">
        <v>51</v>
      </c>
      <c r="Q23" s="14">
        <f t="shared" si="4"/>
        <v>4.25</v>
      </c>
      <c r="R23" s="6">
        <f t="shared" si="5"/>
        <v>39</v>
      </c>
      <c r="S23" s="6">
        <v>1136</v>
      </c>
      <c r="T23" s="6">
        <v>73</v>
      </c>
      <c r="U23" s="6">
        <v>64</v>
      </c>
      <c r="V23" s="14">
        <f t="shared" si="6"/>
        <v>5.6338028169014086E-2</v>
      </c>
      <c r="W23" s="6">
        <f t="shared" si="7"/>
        <v>-9</v>
      </c>
      <c r="X23" s="2">
        <v>27</v>
      </c>
      <c r="Y23" s="2">
        <v>27</v>
      </c>
      <c r="Z23" s="2">
        <v>27</v>
      </c>
      <c r="AA23" s="25">
        <f t="shared" si="8"/>
        <v>1</v>
      </c>
      <c r="AB23" s="2">
        <f t="shared" si="9"/>
        <v>0</v>
      </c>
      <c r="AC23" s="2">
        <v>24</v>
      </c>
      <c r="AD23" s="2">
        <v>24</v>
      </c>
      <c r="AE23" s="2">
        <v>24</v>
      </c>
      <c r="AF23" s="25">
        <f t="shared" si="10"/>
        <v>1</v>
      </c>
      <c r="AG23" s="2">
        <f t="shared" si="11"/>
        <v>0</v>
      </c>
      <c r="AH23" s="2">
        <v>4312</v>
      </c>
      <c r="AI23" s="2">
        <v>34</v>
      </c>
      <c r="AJ23" s="2">
        <v>33</v>
      </c>
      <c r="AK23" s="25">
        <f t="shared" si="12"/>
        <v>7.6530612244897957E-3</v>
      </c>
      <c r="AL23" s="2"/>
      <c r="AM23" s="2">
        <v>2676</v>
      </c>
      <c r="AN23" s="2">
        <v>0</v>
      </c>
      <c r="AO23" s="2"/>
      <c r="AP23" s="25">
        <f t="shared" si="13"/>
        <v>0</v>
      </c>
      <c r="AQ23" s="2"/>
      <c r="AR23" s="2">
        <v>2684</v>
      </c>
      <c r="AS23" s="2">
        <v>0</v>
      </c>
      <c r="AT23" s="2"/>
      <c r="AU23" s="25">
        <f t="shared" si="14"/>
        <v>0</v>
      </c>
      <c r="AV23" s="2">
        <f t="shared" si="15"/>
        <v>0</v>
      </c>
      <c r="AW23" s="2">
        <v>513</v>
      </c>
      <c r="AX23" s="2">
        <v>0</v>
      </c>
      <c r="AY23" s="2"/>
      <c r="AZ23" s="25">
        <f t="shared" si="16"/>
        <v>0</v>
      </c>
      <c r="BA23" s="2"/>
      <c r="BB23" s="2">
        <f t="shared" si="17"/>
        <v>14190</v>
      </c>
      <c r="BC23" s="2">
        <f t="shared" si="18"/>
        <v>577</v>
      </c>
      <c r="BD23" s="2">
        <f t="shared" si="19"/>
        <v>496</v>
      </c>
      <c r="BE23" s="25">
        <f t="shared" si="20"/>
        <v>3.4954193093727978E-2</v>
      </c>
      <c r="BF23" s="2"/>
    </row>
    <row r="24" spans="1:58" x14ac:dyDescent="0.35">
      <c r="A24" s="6">
        <v>338933</v>
      </c>
      <c r="B24" s="6" t="s">
        <v>38</v>
      </c>
      <c r="C24" s="6" t="s">
        <v>11</v>
      </c>
      <c r="D24" s="6">
        <v>2510</v>
      </c>
      <c r="E24" s="6">
        <v>215</v>
      </c>
      <c r="F24" s="6">
        <v>0</v>
      </c>
      <c r="G24" s="14">
        <f t="shared" si="0"/>
        <v>0</v>
      </c>
      <c r="H24" s="6">
        <f t="shared" si="1"/>
        <v>-215</v>
      </c>
      <c r="I24" s="6">
        <v>7795</v>
      </c>
      <c r="J24" s="6">
        <v>0</v>
      </c>
      <c r="K24" s="6">
        <v>0</v>
      </c>
      <c r="L24" s="14">
        <f t="shared" si="2"/>
        <v>0</v>
      </c>
      <c r="M24" s="6">
        <f t="shared" si="3"/>
        <v>0</v>
      </c>
      <c r="N24" s="6">
        <v>0</v>
      </c>
      <c r="O24" s="6">
        <v>0</v>
      </c>
      <c r="P24" s="6">
        <v>0</v>
      </c>
      <c r="Q24" s="14" t="e">
        <f t="shared" si="4"/>
        <v>#DIV/0!</v>
      </c>
      <c r="R24" s="6">
        <f t="shared" si="5"/>
        <v>0</v>
      </c>
      <c r="S24" s="6">
        <v>982</v>
      </c>
      <c r="T24" s="6">
        <v>149</v>
      </c>
      <c r="U24" s="6">
        <v>46</v>
      </c>
      <c r="V24" s="14">
        <f t="shared" si="6"/>
        <v>4.684317718940937E-2</v>
      </c>
      <c r="W24" s="6">
        <f t="shared" si="7"/>
        <v>-103</v>
      </c>
      <c r="X24" s="2">
        <v>10122</v>
      </c>
      <c r="Y24" s="2">
        <v>1540</v>
      </c>
      <c r="Z24" s="2">
        <v>1535</v>
      </c>
      <c r="AA24" s="25">
        <f t="shared" si="8"/>
        <v>0.151649871566884</v>
      </c>
      <c r="AB24" s="2">
        <f t="shared" si="9"/>
        <v>-5</v>
      </c>
      <c r="AC24" s="2">
        <v>1000</v>
      </c>
      <c r="AD24" s="2">
        <v>1</v>
      </c>
      <c r="AE24" s="2">
        <v>1</v>
      </c>
      <c r="AF24" s="25">
        <f t="shared" si="10"/>
        <v>1E-3</v>
      </c>
      <c r="AG24" s="2">
        <f t="shared" si="11"/>
        <v>0</v>
      </c>
      <c r="AH24" s="2">
        <v>8189</v>
      </c>
      <c r="AI24" s="2">
        <v>906</v>
      </c>
      <c r="AJ24" s="2">
        <v>1702</v>
      </c>
      <c r="AK24" s="25">
        <f t="shared" si="12"/>
        <v>0.20783978507754305</v>
      </c>
      <c r="AL24" s="2"/>
      <c r="AM24" s="2">
        <v>29080</v>
      </c>
      <c r="AN24" s="2">
        <v>2339</v>
      </c>
      <c r="AO24" s="2">
        <v>840</v>
      </c>
      <c r="AP24" s="25">
        <f t="shared" si="13"/>
        <v>2.8885832187070151E-2</v>
      </c>
      <c r="AQ24" s="2"/>
      <c r="AR24" s="2">
        <v>13931</v>
      </c>
      <c r="AS24" s="2">
        <v>396</v>
      </c>
      <c r="AT24" s="2">
        <v>389</v>
      </c>
      <c r="AU24" s="25">
        <f t="shared" si="14"/>
        <v>2.7923336443902089E-2</v>
      </c>
      <c r="AV24" s="2">
        <f t="shared" si="15"/>
        <v>-7</v>
      </c>
      <c r="AW24" s="2">
        <v>22035</v>
      </c>
      <c r="AX24" s="2">
        <v>723</v>
      </c>
      <c r="AY24" s="2">
        <v>625</v>
      </c>
      <c r="AZ24" s="25">
        <f t="shared" si="16"/>
        <v>2.8363966417063763E-2</v>
      </c>
      <c r="BA24" s="2"/>
      <c r="BB24" s="2">
        <f t="shared" si="17"/>
        <v>95644</v>
      </c>
      <c r="BC24" s="2">
        <f t="shared" si="18"/>
        <v>6269</v>
      </c>
      <c r="BD24" s="2">
        <f t="shared" si="19"/>
        <v>5138</v>
      </c>
      <c r="BE24" s="25">
        <f t="shared" si="20"/>
        <v>5.3720045167496129E-2</v>
      </c>
      <c r="BF24" s="2"/>
    </row>
    <row r="25" spans="1:58" x14ac:dyDescent="0.35">
      <c r="A25" s="6">
        <v>327281</v>
      </c>
      <c r="B25" s="6" t="s">
        <v>39</v>
      </c>
      <c r="C25" s="6" t="s">
        <v>11</v>
      </c>
      <c r="D25" s="6">
        <v>28404</v>
      </c>
      <c r="E25" s="6">
        <v>2440</v>
      </c>
      <c r="F25" s="6">
        <v>2387</v>
      </c>
      <c r="G25" s="14">
        <f t="shared" si="0"/>
        <v>8.4037459512744689E-2</v>
      </c>
      <c r="H25" s="6">
        <f t="shared" si="1"/>
        <v>-53</v>
      </c>
      <c r="I25" s="6">
        <v>28642</v>
      </c>
      <c r="J25" s="6">
        <v>2841</v>
      </c>
      <c r="K25" s="6">
        <v>2485</v>
      </c>
      <c r="L25" s="14">
        <f t="shared" si="2"/>
        <v>8.6760701068361146E-2</v>
      </c>
      <c r="M25" s="6">
        <f t="shared" si="3"/>
        <v>-356</v>
      </c>
      <c r="N25" s="6">
        <v>38394</v>
      </c>
      <c r="O25" s="6">
        <v>3708</v>
      </c>
      <c r="P25" s="6">
        <v>3601</v>
      </c>
      <c r="Q25" s="14">
        <f t="shared" si="4"/>
        <v>9.3790696462989015E-2</v>
      </c>
      <c r="R25" s="6">
        <f t="shared" si="5"/>
        <v>-107</v>
      </c>
      <c r="S25" s="6">
        <v>41270</v>
      </c>
      <c r="T25" s="6">
        <v>3511</v>
      </c>
      <c r="U25" s="6">
        <v>3378</v>
      </c>
      <c r="V25" s="14">
        <f t="shared" si="6"/>
        <v>8.1851223649139812E-2</v>
      </c>
      <c r="W25" s="6">
        <f t="shared" si="7"/>
        <v>-133</v>
      </c>
      <c r="X25" s="2">
        <v>26248</v>
      </c>
      <c r="Y25" s="2">
        <v>1213</v>
      </c>
      <c r="Z25" s="2">
        <v>1186</v>
      </c>
      <c r="AA25" s="25">
        <f t="shared" si="8"/>
        <v>4.5184395001523929E-2</v>
      </c>
      <c r="AB25" s="2">
        <f t="shared" si="9"/>
        <v>-27</v>
      </c>
      <c r="AC25" s="2">
        <v>24993</v>
      </c>
      <c r="AD25" s="2">
        <v>1001</v>
      </c>
      <c r="AE25" s="2">
        <v>966</v>
      </c>
      <c r="AF25" s="25">
        <f t="shared" si="10"/>
        <v>3.8650822230224466E-2</v>
      </c>
      <c r="AG25" s="2">
        <f t="shared" si="11"/>
        <v>-35</v>
      </c>
      <c r="AH25" s="2">
        <v>44284</v>
      </c>
      <c r="AI25" s="2">
        <v>3644</v>
      </c>
      <c r="AJ25" s="2">
        <v>3410</v>
      </c>
      <c r="AK25" s="25">
        <f t="shared" si="12"/>
        <v>7.700298076054557E-2</v>
      </c>
      <c r="AL25" s="2"/>
      <c r="AM25" s="2">
        <v>44018</v>
      </c>
      <c r="AN25" s="2">
        <v>13612</v>
      </c>
      <c r="AO25" s="2">
        <v>13455</v>
      </c>
      <c r="AP25" s="25">
        <f t="shared" si="13"/>
        <v>0.30567040756054342</v>
      </c>
      <c r="AQ25" s="2"/>
      <c r="AR25" s="2">
        <v>148021</v>
      </c>
      <c r="AS25" s="2">
        <v>69751</v>
      </c>
      <c r="AT25" s="2">
        <v>69085</v>
      </c>
      <c r="AU25" s="25">
        <f t="shared" si="14"/>
        <v>0.46672431614433085</v>
      </c>
      <c r="AV25" s="2">
        <f t="shared" si="15"/>
        <v>-666</v>
      </c>
      <c r="AW25" s="2">
        <v>109992</v>
      </c>
      <c r="AX25" s="2">
        <v>6840</v>
      </c>
      <c r="AY25" s="2">
        <v>6970</v>
      </c>
      <c r="AZ25" s="25">
        <f t="shared" si="16"/>
        <v>6.3368244963270051E-2</v>
      </c>
      <c r="BA25" s="2"/>
      <c r="BB25" s="2">
        <f t="shared" si="17"/>
        <v>534266</v>
      </c>
      <c r="BC25" s="2">
        <f t="shared" si="18"/>
        <v>108561</v>
      </c>
      <c r="BD25" s="2">
        <f t="shared" si="19"/>
        <v>106923</v>
      </c>
      <c r="BE25" s="25">
        <f t="shared" si="20"/>
        <v>0.20013064653187737</v>
      </c>
      <c r="BF25" s="2"/>
    </row>
    <row r="26" spans="1:58" x14ac:dyDescent="0.35">
      <c r="A26" s="6">
        <v>322632</v>
      </c>
      <c r="B26" s="6" t="s">
        <v>40</v>
      </c>
      <c r="C26" s="6" t="s">
        <v>11</v>
      </c>
      <c r="D26" s="6">
        <v>33417</v>
      </c>
      <c r="E26" s="6">
        <v>3094</v>
      </c>
      <c r="F26" s="6">
        <v>2486</v>
      </c>
      <c r="G26" s="14">
        <f t="shared" si="0"/>
        <v>7.4393272885058509E-2</v>
      </c>
      <c r="H26" s="6">
        <f t="shared" si="1"/>
        <v>-608</v>
      </c>
      <c r="I26" s="6">
        <v>34830</v>
      </c>
      <c r="J26" s="6">
        <v>5754</v>
      </c>
      <c r="K26" s="6">
        <v>5059</v>
      </c>
      <c r="L26" s="14">
        <f t="shared" si="2"/>
        <v>0.14524834912431811</v>
      </c>
      <c r="M26" s="6">
        <f t="shared" si="3"/>
        <v>-695</v>
      </c>
      <c r="N26" s="6">
        <v>102671</v>
      </c>
      <c r="O26" s="6">
        <v>81655</v>
      </c>
      <c r="P26" s="6">
        <v>80193</v>
      </c>
      <c r="Q26" s="14">
        <f t="shared" si="4"/>
        <v>0.78106768220821854</v>
      </c>
      <c r="R26" s="6">
        <f t="shared" si="5"/>
        <v>-1462</v>
      </c>
      <c r="S26" s="6">
        <v>59050</v>
      </c>
      <c r="T26" s="6">
        <v>24289</v>
      </c>
      <c r="U26" s="6">
        <v>23488</v>
      </c>
      <c r="V26" s="14">
        <f t="shared" si="6"/>
        <v>0.3977646062658764</v>
      </c>
      <c r="W26" s="6">
        <f t="shared" si="7"/>
        <v>-801</v>
      </c>
      <c r="X26" s="2">
        <v>39584</v>
      </c>
      <c r="Y26" s="2">
        <v>4202</v>
      </c>
      <c r="Z26" s="2">
        <v>4049</v>
      </c>
      <c r="AA26" s="25">
        <f t="shared" si="8"/>
        <v>0.10228880355699273</v>
      </c>
      <c r="AB26" s="2">
        <f t="shared" si="9"/>
        <v>-153</v>
      </c>
      <c r="AC26" s="2">
        <v>44469</v>
      </c>
      <c r="AD26" s="2">
        <v>6152</v>
      </c>
      <c r="AE26" s="2">
        <v>5400</v>
      </c>
      <c r="AF26" s="25">
        <f t="shared" si="10"/>
        <v>0.12143290831815422</v>
      </c>
      <c r="AG26" s="2">
        <f t="shared" si="11"/>
        <v>-752</v>
      </c>
      <c r="AH26" s="2">
        <v>23308</v>
      </c>
      <c r="AI26" s="2">
        <v>1440</v>
      </c>
      <c r="AJ26" s="2">
        <v>1437</v>
      </c>
      <c r="AK26" s="25">
        <f t="shared" si="12"/>
        <v>6.1652651450145875E-2</v>
      </c>
      <c r="AL26" s="2"/>
      <c r="AM26" s="2">
        <v>77153</v>
      </c>
      <c r="AN26" s="2">
        <v>9974</v>
      </c>
      <c r="AO26" s="2">
        <v>6945</v>
      </c>
      <c r="AP26" s="25">
        <f t="shared" si="13"/>
        <v>9.0015942348320874E-2</v>
      </c>
      <c r="AQ26" s="2"/>
      <c r="AR26" s="2">
        <v>70259</v>
      </c>
      <c r="AS26" s="2">
        <v>4847</v>
      </c>
      <c r="AT26" s="2">
        <v>4926</v>
      </c>
      <c r="AU26" s="25">
        <f t="shared" si="14"/>
        <v>7.0112014119187577E-2</v>
      </c>
      <c r="AV26" s="2">
        <f t="shared" si="15"/>
        <v>79</v>
      </c>
      <c r="AW26" s="2">
        <v>46427</v>
      </c>
      <c r="AX26" s="2">
        <v>3338</v>
      </c>
      <c r="AY26" s="2">
        <v>2644</v>
      </c>
      <c r="AZ26" s="25">
        <f t="shared" si="16"/>
        <v>5.6949619833286662E-2</v>
      </c>
      <c r="BA26" s="2"/>
      <c r="BB26" s="2">
        <f t="shared" si="17"/>
        <v>531168</v>
      </c>
      <c r="BC26" s="2">
        <f t="shared" si="18"/>
        <v>144745</v>
      </c>
      <c r="BD26" s="2">
        <f t="shared" si="19"/>
        <v>136627</v>
      </c>
      <c r="BE26" s="25">
        <f t="shared" si="20"/>
        <v>0.25721993794806919</v>
      </c>
      <c r="BF26" s="2"/>
    </row>
    <row r="27" spans="1:58" x14ac:dyDescent="0.35">
      <c r="A27" s="6">
        <v>404904</v>
      </c>
      <c r="B27" s="6" t="s">
        <v>41</v>
      </c>
      <c r="C27" s="6" t="s">
        <v>11</v>
      </c>
      <c r="D27" s="6">
        <v>182</v>
      </c>
      <c r="E27" s="6">
        <v>17</v>
      </c>
      <c r="F27" s="6">
        <v>11</v>
      </c>
      <c r="G27" s="14">
        <f t="shared" si="0"/>
        <v>6.043956043956044E-2</v>
      </c>
      <c r="H27" s="6">
        <f t="shared" si="1"/>
        <v>-6</v>
      </c>
      <c r="I27" s="6">
        <v>209</v>
      </c>
      <c r="J27" s="6">
        <v>209</v>
      </c>
      <c r="K27" s="6">
        <v>205</v>
      </c>
      <c r="L27" s="14">
        <f t="shared" si="2"/>
        <v>0.98086124401913877</v>
      </c>
      <c r="M27" s="6">
        <f t="shared" si="3"/>
        <v>-4</v>
      </c>
      <c r="N27" s="6">
        <v>496</v>
      </c>
      <c r="O27" s="6">
        <v>144</v>
      </c>
      <c r="P27" s="6">
        <v>54</v>
      </c>
      <c r="Q27" s="14">
        <f t="shared" si="4"/>
        <v>0.10887096774193548</v>
      </c>
      <c r="R27" s="6">
        <f t="shared" si="5"/>
        <v>-90</v>
      </c>
      <c r="S27" s="6">
        <v>2022</v>
      </c>
      <c r="T27" s="6">
        <v>1168</v>
      </c>
      <c r="U27" s="6">
        <v>1240</v>
      </c>
      <c r="V27" s="14">
        <f t="shared" si="6"/>
        <v>0.6132542037586548</v>
      </c>
      <c r="W27" s="6">
        <f t="shared" si="7"/>
        <v>72</v>
      </c>
      <c r="X27" s="2">
        <v>58</v>
      </c>
      <c r="Y27" s="2">
        <v>58</v>
      </c>
      <c r="Z27" s="2">
        <v>57</v>
      </c>
      <c r="AA27" s="25">
        <f t="shared" si="8"/>
        <v>0.98275862068965514</v>
      </c>
      <c r="AB27" s="2">
        <f t="shared" si="9"/>
        <v>-1</v>
      </c>
      <c r="AC27" s="2">
        <v>12</v>
      </c>
      <c r="AD27" s="2">
        <v>12</v>
      </c>
      <c r="AE27" s="2">
        <v>6</v>
      </c>
      <c r="AF27" s="25">
        <f t="shared" si="10"/>
        <v>0.5</v>
      </c>
      <c r="AG27" s="2">
        <f t="shared" si="11"/>
        <v>-6</v>
      </c>
      <c r="AH27" s="2">
        <v>35912</v>
      </c>
      <c r="AI27" s="2">
        <v>37</v>
      </c>
      <c r="AJ27" s="2">
        <v>30</v>
      </c>
      <c r="AK27" s="25">
        <f t="shared" si="12"/>
        <v>8.3537536199599022E-4</v>
      </c>
      <c r="AL27" s="2"/>
      <c r="AM27" s="2">
        <v>49368</v>
      </c>
      <c r="AN27" s="2">
        <v>183</v>
      </c>
      <c r="AO27" s="2">
        <v>118</v>
      </c>
      <c r="AP27" s="25">
        <f t="shared" si="13"/>
        <v>2.3902122832604117E-3</v>
      </c>
      <c r="AQ27" s="2"/>
      <c r="AR27" s="2">
        <v>9903</v>
      </c>
      <c r="AS27" s="2">
        <v>105</v>
      </c>
      <c r="AT27" s="2">
        <v>102</v>
      </c>
      <c r="AU27" s="25">
        <f t="shared" si="14"/>
        <v>1.0299909118448955E-2</v>
      </c>
      <c r="AV27" s="2">
        <f t="shared" si="15"/>
        <v>-3</v>
      </c>
      <c r="AW27" s="2">
        <v>7288</v>
      </c>
      <c r="AX27" s="2">
        <v>0</v>
      </c>
      <c r="AY27" s="2"/>
      <c r="AZ27" s="25">
        <f t="shared" si="16"/>
        <v>0</v>
      </c>
      <c r="BA27" s="2"/>
      <c r="BB27" s="2">
        <f t="shared" si="17"/>
        <v>105450</v>
      </c>
      <c r="BC27" s="2">
        <f t="shared" si="18"/>
        <v>1933</v>
      </c>
      <c r="BD27" s="2">
        <f t="shared" si="19"/>
        <v>1823</v>
      </c>
      <c r="BE27" s="25">
        <f t="shared" si="20"/>
        <v>1.7287814129919393E-2</v>
      </c>
      <c r="BF27" s="2"/>
    </row>
    <row r="28" spans="1:58" x14ac:dyDescent="0.35">
      <c r="A28" s="6">
        <v>358973</v>
      </c>
      <c r="B28" s="6" t="s">
        <v>42</v>
      </c>
      <c r="C28" s="6" t="s">
        <v>11</v>
      </c>
      <c r="D28" s="6">
        <v>44354</v>
      </c>
      <c r="E28" s="6">
        <v>3458</v>
      </c>
      <c r="F28" s="6">
        <v>2610</v>
      </c>
      <c r="G28" s="14">
        <f t="shared" si="0"/>
        <v>5.8844749064345947E-2</v>
      </c>
      <c r="H28" s="6">
        <f t="shared" si="1"/>
        <v>-848</v>
      </c>
      <c r="I28" s="6">
        <v>35150</v>
      </c>
      <c r="J28" s="6">
        <v>4461</v>
      </c>
      <c r="K28" s="6">
        <v>3637</v>
      </c>
      <c r="L28" s="14">
        <f t="shared" si="2"/>
        <v>0.10347083926031295</v>
      </c>
      <c r="M28" s="6">
        <f t="shared" si="3"/>
        <v>-824</v>
      </c>
      <c r="N28" s="6">
        <v>119684</v>
      </c>
      <c r="O28" s="6">
        <v>92657</v>
      </c>
      <c r="P28" s="6">
        <v>91490</v>
      </c>
      <c r="Q28" s="14">
        <f t="shared" si="4"/>
        <v>0.76442966478393104</v>
      </c>
      <c r="R28" s="6">
        <f t="shared" si="5"/>
        <v>-1167</v>
      </c>
      <c r="S28" s="6">
        <v>55539</v>
      </c>
      <c r="T28" s="6">
        <v>20876</v>
      </c>
      <c r="U28" s="6">
        <v>20434</v>
      </c>
      <c r="V28" s="14">
        <f t="shared" si="6"/>
        <v>0.36792164064891336</v>
      </c>
      <c r="W28" s="6">
        <f t="shared" si="7"/>
        <v>-442</v>
      </c>
      <c r="X28" s="2">
        <v>60222</v>
      </c>
      <c r="Y28" s="2">
        <v>11540</v>
      </c>
      <c r="Z28" s="2">
        <v>9939</v>
      </c>
      <c r="AA28" s="25">
        <f t="shared" si="8"/>
        <v>0.16503935438876158</v>
      </c>
      <c r="AB28" s="2">
        <f t="shared" si="9"/>
        <v>-1601</v>
      </c>
      <c r="AC28" s="2">
        <v>42743</v>
      </c>
      <c r="AD28" s="2">
        <v>4592</v>
      </c>
      <c r="AE28" s="2">
        <v>4276</v>
      </c>
      <c r="AF28" s="25">
        <f t="shared" si="10"/>
        <v>0.10003977259434294</v>
      </c>
      <c r="AG28" s="2">
        <f t="shared" si="11"/>
        <v>-316</v>
      </c>
      <c r="AH28" s="2">
        <v>46607</v>
      </c>
      <c r="AI28" s="2">
        <v>8298</v>
      </c>
      <c r="AJ28" s="2">
        <v>7571</v>
      </c>
      <c r="AK28" s="25">
        <f t="shared" si="12"/>
        <v>0.16244340978822924</v>
      </c>
      <c r="AL28" s="2"/>
      <c r="AM28" s="2">
        <v>65001</v>
      </c>
      <c r="AN28" s="2">
        <v>26046</v>
      </c>
      <c r="AO28" s="2">
        <v>25452</v>
      </c>
      <c r="AP28" s="25">
        <f t="shared" si="13"/>
        <v>0.39156320671989664</v>
      </c>
      <c r="AQ28" s="2"/>
      <c r="AR28" s="2">
        <v>41863</v>
      </c>
      <c r="AS28" s="2">
        <v>7073</v>
      </c>
      <c r="AT28" s="2">
        <v>6536</v>
      </c>
      <c r="AU28" s="25">
        <f t="shared" si="14"/>
        <v>0.15612832334041993</v>
      </c>
      <c r="AV28" s="2">
        <f t="shared" si="15"/>
        <v>-537</v>
      </c>
      <c r="AW28" s="2">
        <v>18163</v>
      </c>
      <c r="AX28" s="2">
        <v>1851</v>
      </c>
      <c r="AY28" s="2">
        <v>2034</v>
      </c>
      <c r="AZ28" s="25">
        <f t="shared" si="16"/>
        <v>0.11198590541210153</v>
      </c>
      <c r="BA28" s="2"/>
      <c r="BB28" s="2">
        <f t="shared" si="17"/>
        <v>529326</v>
      </c>
      <c r="BC28" s="2">
        <f t="shared" si="18"/>
        <v>180852</v>
      </c>
      <c r="BD28" s="2">
        <f t="shared" si="19"/>
        <v>173979</v>
      </c>
      <c r="BE28" s="25">
        <f t="shared" si="20"/>
        <v>0.3286802461998844</v>
      </c>
      <c r="BF28" s="2"/>
    </row>
    <row r="29" spans="1:58" x14ac:dyDescent="0.35">
      <c r="A29" s="6">
        <v>234394</v>
      </c>
      <c r="B29" s="6" t="s">
        <v>43</v>
      </c>
      <c r="C29" s="6" t="s">
        <v>11</v>
      </c>
      <c r="D29" s="6">
        <v>699</v>
      </c>
      <c r="E29" s="6">
        <v>48</v>
      </c>
      <c r="F29" s="6">
        <v>41</v>
      </c>
      <c r="G29" s="14">
        <f t="shared" si="0"/>
        <v>5.8655221745350504E-2</v>
      </c>
      <c r="H29" s="6">
        <f t="shared" si="1"/>
        <v>-7</v>
      </c>
      <c r="I29" s="6">
        <v>12178</v>
      </c>
      <c r="J29" s="6">
        <v>1038</v>
      </c>
      <c r="K29" s="6">
        <v>9</v>
      </c>
      <c r="L29" s="14">
        <f t="shared" si="2"/>
        <v>7.3903760880275908E-4</v>
      </c>
      <c r="M29" s="6">
        <f t="shared" si="3"/>
        <v>-1029</v>
      </c>
      <c r="N29" s="6">
        <v>2229</v>
      </c>
      <c r="O29" s="6">
        <v>512</v>
      </c>
      <c r="P29" s="6">
        <v>1522</v>
      </c>
      <c r="Q29" s="14">
        <f t="shared" si="4"/>
        <v>0.68281740690892778</v>
      </c>
      <c r="R29" s="6">
        <f t="shared" si="5"/>
        <v>1010</v>
      </c>
      <c r="S29" s="6">
        <v>6478</v>
      </c>
      <c r="T29" s="6">
        <v>526</v>
      </c>
      <c r="U29" s="6">
        <v>523</v>
      </c>
      <c r="V29" s="14">
        <f t="shared" si="6"/>
        <v>8.0734794689719044E-2</v>
      </c>
      <c r="W29" s="6">
        <f t="shared" si="7"/>
        <v>-3</v>
      </c>
      <c r="X29" s="2">
        <v>7087</v>
      </c>
      <c r="Y29" s="2">
        <v>1032</v>
      </c>
      <c r="Z29" s="2">
        <v>1019</v>
      </c>
      <c r="AA29" s="25">
        <f t="shared" si="8"/>
        <v>0.14378439396077325</v>
      </c>
      <c r="AB29" s="2">
        <f t="shared" si="9"/>
        <v>-13</v>
      </c>
      <c r="AC29" s="2">
        <v>10322</v>
      </c>
      <c r="AD29" s="2">
        <v>2467</v>
      </c>
      <c r="AE29" s="2">
        <v>2326</v>
      </c>
      <c r="AF29" s="25">
        <f t="shared" si="10"/>
        <v>0.22534392559581476</v>
      </c>
      <c r="AG29" s="2">
        <f t="shared" si="11"/>
        <v>-141</v>
      </c>
      <c r="AH29" s="2">
        <v>81455</v>
      </c>
      <c r="AI29" s="2">
        <v>1287</v>
      </c>
      <c r="AJ29" s="2">
        <v>4647</v>
      </c>
      <c r="AK29" s="25">
        <f t="shared" si="12"/>
        <v>5.7049904855441654E-2</v>
      </c>
      <c r="AL29" s="2"/>
      <c r="AM29" s="2">
        <v>72164</v>
      </c>
      <c r="AN29" s="2">
        <v>250</v>
      </c>
      <c r="AO29" s="2">
        <v>1030</v>
      </c>
      <c r="AP29" s="25">
        <f t="shared" si="13"/>
        <v>1.4273044731445042E-2</v>
      </c>
      <c r="AQ29" s="2"/>
      <c r="AR29" s="2">
        <v>11011</v>
      </c>
      <c r="AS29" s="2">
        <v>541</v>
      </c>
      <c r="AT29" s="2">
        <v>540</v>
      </c>
      <c r="AU29" s="25">
        <f t="shared" si="14"/>
        <v>4.9041867223685406E-2</v>
      </c>
      <c r="AV29" s="2">
        <f t="shared" si="15"/>
        <v>-1</v>
      </c>
      <c r="AW29" s="2">
        <v>6468</v>
      </c>
      <c r="AX29" s="2">
        <v>65</v>
      </c>
      <c r="AY29" s="2"/>
      <c r="AZ29" s="25">
        <f t="shared" si="16"/>
        <v>0</v>
      </c>
      <c r="BA29" s="2"/>
      <c r="BB29" s="2">
        <f t="shared" si="17"/>
        <v>210091</v>
      </c>
      <c r="BC29" s="2">
        <f t="shared" si="18"/>
        <v>7766</v>
      </c>
      <c r="BD29" s="2">
        <f t="shared" si="19"/>
        <v>11657</v>
      </c>
      <c r="BE29" s="25">
        <f t="shared" si="20"/>
        <v>5.5485480101479835E-2</v>
      </c>
      <c r="BF29" s="2"/>
    </row>
    <row r="30" spans="1:58" x14ac:dyDescent="0.35">
      <c r="A30" s="6">
        <v>359121</v>
      </c>
      <c r="B30" s="6" t="s">
        <v>46</v>
      </c>
      <c r="C30" s="6" t="s">
        <v>11</v>
      </c>
      <c r="D30" s="6">
        <v>5000</v>
      </c>
      <c r="E30" s="6">
        <v>417</v>
      </c>
      <c r="F30" s="6">
        <v>226</v>
      </c>
      <c r="G30" s="14">
        <f t="shared" si="0"/>
        <v>4.5199999999999997E-2</v>
      </c>
      <c r="H30" s="6">
        <f t="shared" si="1"/>
        <v>-191</v>
      </c>
      <c r="I30" s="6">
        <v>4944</v>
      </c>
      <c r="J30" s="6">
        <v>287</v>
      </c>
      <c r="K30" s="6">
        <v>274</v>
      </c>
      <c r="L30" s="14">
        <f t="shared" si="2"/>
        <v>5.5420711974110033E-2</v>
      </c>
      <c r="M30" s="6">
        <f t="shared" si="3"/>
        <v>-13</v>
      </c>
      <c r="N30" s="6">
        <v>10003</v>
      </c>
      <c r="O30" s="6">
        <v>252</v>
      </c>
      <c r="P30" s="6">
        <v>246</v>
      </c>
      <c r="Q30" s="14">
        <f t="shared" si="4"/>
        <v>2.4592622213336E-2</v>
      </c>
      <c r="R30" s="6">
        <f t="shared" si="5"/>
        <v>-6</v>
      </c>
      <c r="S30" s="6">
        <v>2602</v>
      </c>
      <c r="T30" s="6">
        <v>0</v>
      </c>
      <c r="U30" s="6">
        <v>0</v>
      </c>
      <c r="V30" s="14">
        <f t="shared" si="6"/>
        <v>0</v>
      </c>
      <c r="W30" s="6">
        <f t="shared" si="7"/>
        <v>0</v>
      </c>
      <c r="X30" s="2">
        <v>3071</v>
      </c>
      <c r="Y30" s="2">
        <v>595</v>
      </c>
      <c r="Z30" s="2">
        <v>579</v>
      </c>
      <c r="AA30" s="25">
        <f t="shared" si="8"/>
        <v>0.18853793552588732</v>
      </c>
      <c r="AB30" s="2">
        <f t="shared" si="9"/>
        <v>-16</v>
      </c>
      <c r="AC30" s="2">
        <v>1000</v>
      </c>
      <c r="AD30" s="2">
        <v>1</v>
      </c>
      <c r="AE30" s="2">
        <v>1</v>
      </c>
      <c r="AF30" s="25">
        <f t="shared" si="10"/>
        <v>1E-3</v>
      </c>
      <c r="AG30" s="2">
        <f t="shared" si="11"/>
        <v>0</v>
      </c>
      <c r="AH30" s="2">
        <v>6888</v>
      </c>
      <c r="AI30" s="2">
        <v>198</v>
      </c>
      <c r="AJ30" s="2">
        <v>156</v>
      </c>
      <c r="AK30" s="25">
        <f t="shared" si="12"/>
        <v>2.2648083623693381E-2</v>
      </c>
      <c r="AL30" s="2"/>
      <c r="AM30" s="2">
        <v>23783</v>
      </c>
      <c r="AN30" s="2">
        <v>813</v>
      </c>
      <c r="AO30" s="2">
        <v>332</v>
      </c>
      <c r="AP30" s="25">
        <f t="shared" si="13"/>
        <v>1.3959550939746879E-2</v>
      </c>
      <c r="AQ30" s="2"/>
      <c r="AR30" s="2">
        <v>17594</v>
      </c>
      <c r="AS30" s="2">
        <v>134</v>
      </c>
      <c r="AT30" s="2">
        <v>84</v>
      </c>
      <c r="AU30" s="25">
        <f t="shared" si="14"/>
        <v>4.7743548937137659E-3</v>
      </c>
      <c r="AV30" s="2">
        <f t="shared" si="15"/>
        <v>-50</v>
      </c>
      <c r="AW30" s="2">
        <v>4167</v>
      </c>
      <c r="AX30" s="2">
        <v>273</v>
      </c>
      <c r="AY30" s="2">
        <v>169</v>
      </c>
      <c r="AZ30" s="25">
        <f t="shared" si="16"/>
        <v>4.0556755459563235E-2</v>
      </c>
      <c r="BA30" s="2"/>
      <c r="BB30" s="2">
        <f t="shared" si="17"/>
        <v>79052</v>
      </c>
      <c r="BC30" s="2">
        <f t="shared" si="18"/>
        <v>2970</v>
      </c>
      <c r="BD30" s="2">
        <f t="shared" si="19"/>
        <v>2067</v>
      </c>
      <c r="BE30" s="25">
        <f t="shared" si="20"/>
        <v>2.6147346050700803E-2</v>
      </c>
      <c r="BF30" s="2"/>
    </row>
    <row r="31" spans="1:58" x14ac:dyDescent="0.35">
      <c r="A31" s="6">
        <v>235110</v>
      </c>
      <c r="B31" s="6" t="s">
        <v>47</v>
      </c>
      <c r="C31" s="6" t="s">
        <v>11</v>
      </c>
      <c r="D31" s="6">
        <v>3036</v>
      </c>
      <c r="E31" s="6">
        <v>289</v>
      </c>
      <c r="F31" s="6">
        <v>126</v>
      </c>
      <c r="G31" s="14">
        <f t="shared" si="0"/>
        <v>4.1501976284584984E-2</v>
      </c>
      <c r="H31" s="6">
        <f t="shared" si="1"/>
        <v>-163</v>
      </c>
      <c r="I31" s="6">
        <v>4175</v>
      </c>
      <c r="J31" s="6">
        <v>522</v>
      </c>
      <c r="K31" s="6">
        <v>266</v>
      </c>
      <c r="L31" s="14">
        <f t="shared" si="2"/>
        <v>6.3712574850299394E-2</v>
      </c>
      <c r="M31" s="6">
        <f t="shared" si="3"/>
        <v>-256</v>
      </c>
      <c r="N31" s="6">
        <v>3309</v>
      </c>
      <c r="O31" s="6">
        <v>522</v>
      </c>
      <c r="P31" s="6">
        <v>196</v>
      </c>
      <c r="Q31" s="14">
        <f t="shared" si="4"/>
        <v>5.9232396494409187E-2</v>
      </c>
      <c r="R31" s="6">
        <f t="shared" si="5"/>
        <v>-326</v>
      </c>
      <c r="S31" s="6">
        <v>7304</v>
      </c>
      <c r="T31" s="6">
        <v>891</v>
      </c>
      <c r="U31" s="6">
        <v>421</v>
      </c>
      <c r="V31" s="14">
        <f t="shared" si="6"/>
        <v>5.7639649507119389E-2</v>
      </c>
      <c r="W31" s="6">
        <f t="shared" si="7"/>
        <v>-470</v>
      </c>
      <c r="X31" s="2">
        <v>5344</v>
      </c>
      <c r="Y31" s="2">
        <v>334</v>
      </c>
      <c r="Z31" s="2">
        <v>341</v>
      </c>
      <c r="AA31" s="25">
        <f t="shared" si="8"/>
        <v>6.3809880239520958E-2</v>
      </c>
      <c r="AB31" s="2">
        <f t="shared" si="9"/>
        <v>7</v>
      </c>
      <c r="AC31" s="2">
        <v>5904</v>
      </c>
      <c r="AD31" s="2">
        <v>1350</v>
      </c>
      <c r="AE31" s="2">
        <v>1092</v>
      </c>
      <c r="AF31" s="25">
        <f t="shared" si="10"/>
        <v>0.18495934959349594</v>
      </c>
      <c r="AG31" s="2">
        <f t="shared" si="11"/>
        <v>-258</v>
      </c>
      <c r="AH31" s="2">
        <v>17075</v>
      </c>
      <c r="AI31" s="2">
        <v>778</v>
      </c>
      <c r="AJ31" s="2">
        <v>535</v>
      </c>
      <c r="AK31" s="25">
        <f t="shared" si="12"/>
        <v>3.1332357247437777E-2</v>
      </c>
      <c r="AL31" s="2"/>
      <c r="AM31" s="2">
        <v>5238</v>
      </c>
      <c r="AN31" s="2">
        <v>1037</v>
      </c>
      <c r="AO31" s="2">
        <v>705</v>
      </c>
      <c r="AP31" s="25">
        <f t="shared" si="13"/>
        <v>0.13459335624284077</v>
      </c>
      <c r="AQ31" s="2"/>
      <c r="AR31" s="2">
        <v>11637</v>
      </c>
      <c r="AS31" s="2">
        <v>1804</v>
      </c>
      <c r="AT31" s="2">
        <v>650</v>
      </c>
      <c r="AU31" s="25">
        <f t="shared" si="14"/>
        <v>5.5856320357480449E-2</v>
      </c>
      <c r="AV31" s="2">
        <f t="shared" si="15"/>
        <v>-1154</v>
      </c>
      <c r="AW31" s="2">
        <v>12750</v>
      </c>
      <c r="AX31" s="2">
        <v>2205</v>
      </c>
      <c r="AY31" s="2">
        <v>941</v>
      </c>
      <c r="AZ31" s="25">
        <f t="shared" si="16"/>
        <v>7.3803921568627445E-2</v>
      </c>
      <c r="BA31" s="2"/>
      <c r="BB31" s="2">
        <f t="shared" si="17"/>
        <v>75772</v>
      </c>
      <c r="BC31" s="2">
        <f t="shared" si="18"/>
        <v>9732</v>
      </c>
      <c r="BD31" s="2">
        <f t="shared" si="19"/>
        <v>5273</v>
      </c>
      <c r="BE31" s="25">
        <f t="shared" si="20"/>
        <v>6.9590349997360509E-2</v>
      </c>
      <c r="BF31" s="2"/>
    </row>
    <row r="32" spans="1:58" x14ac:dyDescent="0.35">
      <c r="A32" s="6">
        <v>5520961</v>
      </c>
      <c r="B32" s="6" t="s">
        <v>48</v>
      </c>
      <c r="C32" s="6" t="s">
        <v>11</v>
      </c>
      <c r="D32" s="6">
        <v>34935</v>
      </c>
      <c r="E32" s="6">
        <v>1759</v>
      </c>
      <c r="F32" s="6">
        <v>1101</v>
      </c>
      <c r="G32" s="14">
        <f t="shared" si="0"/>
        <v>3.1515671962215545E-2</v>
      </c>
      <c r="H32" s="6">
        <f t="shared" si="1"/>
        <v>-658</v>
      </c>
      <c r="I32" s="6">
        <v>20119</v>
      </c>
      <c r="J32" s="6">
        <v>371</v>
      </c>
      <c r="K32" s="6">
        <v>279</v>
      </c>
      <c r="L32" s="14">
        <f t="shared" si="2"/>
        <v>1.386748844375963E-2</v>
      </c>
      <c r="M32" s="6">
        <f t="shared" si="3"/>
        <v>-92</v>
      </c>
      <c r="N32" s="6">
        <v>8509</v>
      </c>
      <c r="O32" s="6">
        <v>376</v>
      </c>
      <c r="P32" s="6">
        <v>417</v>
      </c>
      <c r="Q32" s="14">
        <f t="shared" si="4"/>
        <v>4.9006933834763192E-2</v>
      </c>
      <c r="R32" s="6">
        <f t="shared" si="5"/>
        <v>41</v>
      </c>
      <c r="S32" s="6">
        <v>9964</v>
      </c>
      <c r="T32" s="6">
        <v>2172</v>
      </c>
      <c r="U32" s="6">
        <v>2059</v>
      </c>
      <c r="V32" s="14">
        <f t="shared" si="6"/>
        <v>0.20664391810517865</v>
      </c>
      <c r="W32" s="6">
        <f t="shared" si="7"/>
        <v>-113</v>
      </c>
      <c r="X32" s="2">
        <v>23740</v>
      </c>
      <c r="Y32" s="2">
        <v>868</v>
      </c>
      <c r="Z32" s="2">
        <v>851</v>
      </c>
      <c r="AA32" s="25">
        <f t="shared" si="8"/>
        <v>3.5846672283066552E-2</v>
      </c>
      <c r="AB32" s="2">
        <f t="shared" si="9"/>
        <v>-17</v>
      </c>
      <c r="AC32" s="2">
        <v>9932</v>
      </c>
      <c r="AD32" s="2">
        <v>1350</v>
      </c>
      <c r="AE32" s="2">
        <v>1206</v>
      </c>
      <c r="AF32" s="25">
        <f t="shared" si="10"/>
        <v>0.12142569472412404</v>
      </c>
      <c r="AG32" s="2">
        <f t="shared" si="11"/>
        <v>-144</v>
      </c>
      <c r="AH32" s="2">
        <v>18358</v>
      </c>
      <c r="AI32" s="2">
        <v>560</v>
      </c>
      <c r="AJ32" s="2">
        <v>746</v>
      </c>
      <c r="AK32" s="25">
        <f t="shared" si="12"/>
        <v>4.063623488397429E-2</v>
      </c>
      <c r="AL32" s="2"/>
      <c r="AM32" s="2">
        <v>17081</v>
      </c>
      <c r="AN32" s="2">
        <v>560</v>
      </c>
      <c r="AO32" s="2">
        <v>90</v>
      </c>
      <c r="AP32" s="25">
        <f t="shared" si="13"/>
        <v>5.2690123529067386E-3</v>
      </c>
      <c r="AQ32" s="2"/>
      <c r="AR32" s="2">
        <v>738</v>
      </c>
      <c r="AS32" s="2">
        <v>212</v>
      </c>
      <c r="AT32" s="2">
        <v>111</v>
      </c>
      <c r="AU32" s="25">
        <f t="shared" si="14"/>
        <v>0.15040650406504066</v>
      </c>
      <c r="AV32" s="2">
        <f t="shared" si="15"/>
        <v>-101</v>
      </c>
      <c r="AW32" s="2">
        <v>326</v>
      </c>
      <c r="AX32" s="2">
        <v>167</v>
      </c>
      <c r="AY32" s="2">
        <v>114</v>
      </c>
      <c r="AZ32" s="25">
        <f t="shared" si="16"/>
        <v>0.34969325153374231</v>
      </c>
      <c r="BA32" s="2"/>
      <c r="BB32" s="2">
        <f t="shared" si="17"/>
        <v>143702</v>
      </c>
      <c r="BC32" s="2">
        <f t="shared" si="18"/>
        <v>8395</v>
      </c>
      <c r="BD32" s="2">
        <f t="shared" si="19"/>
        <v>6974</v>
      </c>
      <c r="BE32" s="25">
        <f t="shared" si="20"/>
        <v>4.8530987738514428E-2</v>
      </c>
      <c r="BF32" s="2"/>
    </row>
    <row r="33" spans="1:58" x14ac:dyDescent="0.35">
      <c r="A33" s="6">
        <v>407373</v>
      </c>
      <c r="B33" s="6" t="s">
        <v>49</v>
      </c>
      <c r="C33" s="6" t="s">
        <v>11</v>
      </c>
      <c r="D33" s="6">
        <v>2484</v>
      </c>
      <c r="E33" s="6">
        <v>460</v>
      </c>
      <c r="F33" s="6">
        <v>77</v>
      </c>
      <c r="G33" s="14">
        <f t="shared" si="0"/>
        <v>3.0998389694041867E-2</v>
      </c>
      <c r="H33" s="6">
        <f t="shared" si="1"/>
        <v>-383</v>
      </c>
      <c r="I33" s="6">
        <v>1313</v>
      </c>
      <c r="J33" s="6">
        <v>1313</v>
      </c>
      <c r="K33" s="6">
        <v>140</v>
      </c>
      <c r="L33" s="14">
        <f t="shared" si="2"/>
        <v>0.10662604722010663</v>
      </c>
      <c r="M33" s="6">
        <f t="shared" si="3"/>
        <v>-1173</v>
      </c>
      <c r="N33" s="6">
        <v>10575</v>
      </c>
      <c r="O33" s="6">
        <v>1536</v>
      </c>
      <c r="P33" s="6">
        <v>180</v>
      </c>
      <c r="Q33" s="14">
        <f t="shared" si="4"/>
        <v>1.7021276595744681E-2</v>
      </c>
      <c r="R33" s="6">
        <f t="shared" si="5"/>
        <v>-1356</v>
      </c>
      <c r="S33" s="6">
        <v>10881</v>
      </c>
      <c r="T33" s="6">
        <v>1307</v>
      </c>
      <c r="U33" s="6">
        <v>75</v>
      </c>
      <c r="V33" s="14">
        <f t="shared" si="6"/>
        <v>6.8927488282326992E-3</v>
      </c>
      <c r="W33" s="6">
        <f t="shared" si="7"/>
        <v>-1232</v>
      </c>
      <c r="X33" s="2">
        <v>727</v>
      </c>
      <c r="Y33" s="2">
        <v>727</v>
      </c>
      <c r="Z33" s="2">
        <v>722</v>
      </c>
      <c r="AA33" s="25">
        <f t="shared" si="8"/>
        <v>0.99312242090784042</v>
      </c>
      <c r="AB33" s="2">
        <f t="shared" si="9"/>
        <v>-5</v>
      </c>
      <c r="AC33" s="2">
        <v>47</v>
      </c>
      <c r="AD33" s="2">
        <v>46</v>
      </c>
      <c r="AE33" s="2">
        <v>47</v>
      </c>
      <c r="AF33" s="25">
        <f t="shared" si="10"/>
        <v>1</v>
      </c>
      <c r="AG33" s="2">
        <f t="shared" si="11"/>
        <v>1</v>
      </c>
      <c r="AH33" s="2">
        <v>1059</v>
      </c>
      <c r="AI33" s="2">
        <v>109</v>
      </c>
      <c r="AJ33" s="2">
        <v>64</v>
      </c>
      <c r="AK33" s="25">
        <f t="shared" si="12"/>
        <v>6.043437204910293E-2</v>
      </c>
      <c r="AL33" s="2"/>
      <c r="AM33" s="2">
        <v>4259</v>
      </c>
      <c r="AN33" s="2">
        <v>84</v>
      </c>
      <c r="AO33" s="2">
        <v>22</v>
      </c>
      <c r="AP33" s="25">
        <f t="shared" si="13"/>
        <v>5.1655318149800419E-3</v>
      </c>
      <c r="AQ33" s="2"/>
      <c r="AR33" s="2">
        <v>15319</v>
      </c>
      <c r="AS33" s="2">
        <v>536</v>
      </c>
      <c r="AT33" s="2">
        <v>306</v>
      </c>
      <c r="AU33" s="25">
        <f t="shared" si="14"/>
        <v>1.9975194203276977E-2</v>
      </c>
      <c r="AV33" s="2">
        <f t="shared" si="15"/>
        <v>-230</v>
      </c>
      <c r="AW33" s="2">
        <v>16593</v>
      </c>
      <c r="AX33" s="2">
        <v>307</v>
      </c>
      <c r="AY33" s="2">
        <v>65</v>
      </c>
      <c r="AZ33" s="25">
        <f t="shared" si="16"/>
        <v>3.917314530223588E-3</v>
      </c>
      <c r="BA33" s="2"/>
      <c r="BB33" s="2">
        <f t="shared" si="17"/>
        <v>63257</v>
      </c>
      <c r="BC33" s="2">
        <f t="shared" si="18"/>
        <v>6425</v>
      </c>
      <c r="BD33" s="2">
        <f t="shared" si="19"/>
        <v>1698</v>
      </c>
      <c r="BE33" s="25">
        <f t="shared" si="20"/>
        <v>2.6842879048959007E-2</v>
      </c>
      <c r="BF33" s="2"/>
    </row>
    <row r="34" spans="1:58" x14ac:dyDescent="0.35">
      <c r="A34" s="6">
        <v>42439</v>
      </c>
      <c r="B34" s="6" t="s">
        <v>96</v>
      </c>
      <c r="C34" s="6" t="s">
        <v>11</v>
      </c>
      <c r="D34" s="6">
        <v>0</v>
      </c>
      <c r="E34" s="6">
        <v>0</v>
      </c>
      <c r="F34" s="6">
        <v>0</v>
      </c>
      <c r="G34" s="14">
        <v>0</v>
      </c>
      <c r="H34" s="6">
        <f t="shared" si="1"/>
        <v>0</v>
      </c>
      <c r="I34" s="6">
        <v>6</v>
      </c>
      <c r="J34" s="6">
        <v>6</v>
      </c>
      <c r="K34" s="6">
        <v>6</v>
      </c>
      <c r="L34" s="14">
        <f t="shared" si="2"/>
        <v>1</v>
      </c>
      <c r="M34" s="6">
        <f t="shared" si="3"/>
        <v>0</v>
      </c>
      <c r="N34" s="6">
        <v>7</v>
      </c>
      <c r="O34" s="6">
        <v>7</v>
      </c>
      <c r="P34" s="6">
        <v>7</v>
      </c>
      <c r="Q34" s="14">
        <f t="shared" si="4"/>
        <v>1</v>
      </c>
      <c r="R34" s="6">
        <f t="shared" si="5"/>
        <v>0</v>
      </c>
      <c r="S34" s="6">
        <v>1</v>
      </c>
      <c r="T34" s="6">
        <v>1</v>
      </c>
      <c r="U34" s="6">
        <v>2</v>
      </c>
      <c r="V34" s="14">
        <f t="shared" si="6"/>
        <v>2</v>
      </c>
      <c r="W34" s="6">
        <f t="shared" si="7"/>
        <v>1</v>
      </c>
      <c r="X34" s="2">
        <v>2</v>
      </c>
      <c r="Y34" s="2">
        <v>2</v>
      </c>
      <c r="Z34" s="2">
        <v>2</v>
      </c>
      <c r="AA34" s="25">
        <f t="shared" si="8"/>
        <v>1</v>
      </c>
      <c r="AB34" s="2">
        <f t="shared" si="9"/>
        <v>0</v>
      </c>
      <c r="AC34" s="2"/>
      <c r="AD34" s="2"/>
      <c r="AE34" s="2"/>
      <c r="AF34" s="25" t="e">
        <f t="shared" si="10"/>
        <v>#DIV/0!</v>
      </c>
      <c r="AG34" s="2">
        <f t="shared" si="11"/>
        <v>0</v>
      </c>
      <c r="AH34" s="2">
        <v>15</v>
      </c>
      <c r="AI34" s="2">
        <v>4</v>
      </c>
      <c r="AJ34" s="2"/>
      <c r="AK34" s="25">
        <f t="shared" si="12"/>
        <v>0</v>
      </c>
      <c r="AL34" s="2"/>
      <c r="AM34" s="2"/>
      <c r="AN34" s="2"/>
      <c r="AO34" s="2"/>
      <c r="AP34" s="25" t="e">
        <f t="shared" si="13"/>
        <v>#DIV/0!</v>
      </c>
      <c r="AQ34" s="2"/>
      <c r="AR34" s="2">
        <v>9427</v>
      </c>
      <c r="AS34" s="2">
        <v>6</v>
      </c>
      <c r="AT34" s="2">
        <v>3</v>
      </c>
      <c r="AU34" s="25">
        <f t="shared" si="14"/>
        <v>3.1823485732470562E-4</v>
      </c>
      <c r="AV34" s="2">
        <f t="shared" si="15"/>
        <v>-3</v>
      </c>
      <c r="AW34" s="2">
        <v>3143</v>
      </c>
      <c r="AX34" s="2">
        <v>37</v>
      </c>
      <c r="AY34" s="2">
        <v>1</v>
      </c>
      <c r="AZ34" s="25">
        <f t="shared" si="16"/>
        <v>3.1816735602927139E-4</v>
      </c>
      <c r="BA34" s="2"/>
      <c r="BB34" s="2">
        <f t="shared" si="17"/>
        <v>12601</v>
      </c>
      <c r="BC34" s="2">
        <f t="shared" si="18"/>
        <v>63</v>
      </c>
      <c r="BD34" s="2">
        <f t="shared" si="19"/>
        <v>21</v>
      </c>
      <c r="BE34" s="25">
        <f t="shared" si="20"/>
        <v>1.6665344020315848E-3</v>
      </c>
      <c r="BF34" s="2"/>
    </row>
    <row r="35" spans="1:58" x14ac:dyDescent="0.35">
      <c r="A35" s="2">
        <v>69913</v>
      </c>
      <c r="B35" s="2" t="s">
        <v>123</v>
      </c>
      <c r="C35" s="6" t="s">
        <v>11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v>94827</v>
      </c>
      <c r="AI35" s="2">
        <v>52301</v>
      </c>
      <c r="AJ35" s="2">
        <v>36106</v>
      </c>
      <c r="AK35" s="25">
        <f t="shared" ref="AK35:AK64" si="21">AJ35/AH35</f>
        <v>0.38075653558585637</v>
      </c>
      <c r="AL35" s="2"/>
      <c r="AM35" s="2">
        <v>172199</v>
      </c>
      <c r="AN35" s="2">
        <v>22301</v>
      </c>
      <c r="AO35" s="2">
        <v>17216</v>
      </c>
      <c r="AP35" s="25">
        <f t="shared" ref="AP35:AP64" si="22">AO35/AM35</f>
        <v>9.9977351784853577E-2</v>
      </c>
      <c r="AQ35" s="2"/>
      <c r="AR35" s="2">
        <v>27402</v>
      </c>
      <c r="AS35" s="2">
        <v>2896</v>
      </c>
      <c r="AT35" s="2">
        <v>3124</v>
      </c>
      <c r="AU35" s="25">
        <f t="shared" ref="AU35:AU64" si="23">AT35/AR35</f>
        <v>0.11400627691409386</v>
      </c>
      <c r="AV35" s="2"/>
      <c r="AW35" s="2">
        <v>18568</v>
      </c>
      <c r="AX35" s="2">
        <v>4246</v>
      </c>
      <c r="AY35" s="2">
        <v>4280</v>
      </c>
      <c r="AZ35" s="25">
        <f t="shared" ref="AZ35:AZ64" si="24">AY35/AW35</f>
        <v>0.23050409306333478</v>
      </c>
      <c r="BA35" s="2"/>
      <c r="BB35" s="2">
        <f t="shared" ref="BB35:BB64" si="25">AR35+AC35+X35+S35+N35+I35+D35+AM35+AH35+AW35</f>
        <v>312996</v>
      </c>
      <c r="BC35" s="2">
        <f t="shared" ref="BC35:BC64" si="26">AS35+AD35+Y35+T35+O35+J35+E35+AN35+AI35+AX35</f>
        <v>81744</v>
      </c>
      <c r="BD35" s="2">
        <f t="shared" ref="BD35:BD64" si="27">AT35+AE35+Z35+U35+P35+K35+F35+AO35+AJ35+AY35</f>
        <v>60726</v>
      </c>
      <c r="BE35" s="25">
        <f t="shared" ref="BE35:BE64" si="28">BD35/BB35</f>
        <v>0.19401525898094543</v>
      </c>
      <c r="BF35" s="2"/>
    </row>
    <row r="36" spans="1:58" x14ac:dyDescent="0.35">
      <c r="A36" s="2">
        <v>553970</v>
      </c>
      <c r="B36" s="2" t="s">
        <v>124</v>
      </c>
      <c r="C36" s="6" t="s">
        <v>11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>
        <v>19269</v>
      </c>
      <c r="AI36" s="2">
        <v>12</v>
      </c>
      <c r="AJ36" s="2">
        <v>6</v>
      </c>
      <c r="AK36" s="25">
        <f t="shared" si="21"/>
        <v>3.1138097462245055E-4</v>
      </c>
      <c r="AL36" s="2"/>
      <c r="AM36" s="2">
        <v>9057</v>
      </c>
      <c r="AN36" s="2">
        <v>0</v>
      </c>
      <c r="AO36" s="2"/>
      <c r="AP36" s="25">
        <f t="shared" si="22"/>
        <v>0</v>
      </c>
      <c r="AQ36" s="2"/>
      <c r="AR36" s="2">
        <v>7763</v>
      </c>
      <c r="AS36" s="2">
        <v>0</v>
      </c>
      <c r="AT36" s="2"/>
      <c r="AU36" s="25">
        <f t="shared" si="23"/>
        <v>0</v>
      </c>
      <c r="AV36" s="2"/>
      <c r="AW36" s="2">
        <v>4579</v>
      </c>
      <c r="AX36" s="2">
        <v>0</v>
      </c>
      <c r="AY36" s="2"/>
      <c r="AZ36" s="25">
        <f t="shared" si="24"/>
        <v>0</v>
      </c>
      <c r="BA36" s="2"/>
      <c r="BB36" s="2">
        <f t="shared" si="25"/>
        <v>40668</v>
      </c>
      <c r="BC36" s="2">
        <f t="shared" si="26"/>
        <v>12</v>
      </c>
      <c r="BD36" s="2">
        <f t="shared" si="27"/>
        <v>6</v>
      </c>
      <c r="BE36" s="25">
        <f t="shared" si="28"/>
        <v>1.4753614635585718E-4</v>
      </c>
      <c r="BF36" s="2"/>
    </row>
    <row r="37" spans="1:58" x14ac:dyDescent="0.35">
      <c r="A37" s="2">
        <v>553949</v>
      </c>
      <c r="B37" s="2" t="s">
        <v>125</v>
      </c>
      <c r="C37" s="6" t="s">
        <v>11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>
        <v>9904</v>
      </c>
      <c r="AI37" s="2">
        <v>120</v>
      </c>
      <c r="AJ37" s="2">
        <v>72</v>
      </c>
      <c r="AK37" s="25">
        <f t="shared" si="21"/>
        <v>7.2697899838449114E-3</v>
      </c>
      <c r="AL37" s="2"/>
      <c r="AM37" s="2">
        <v>11863</v>
      </c>
      <c r="AN37" s="2">
        <v>52</v>
      </c>
      <c r="AO37" s="2">
        <v>206</v>
      </c>
      <c r="AP37" s="25">
        <f t="shared" si="22"/>
        <v>1.7364916125769198E-2</v>
      </c>
      <c r="AQ37" s="2"/>
      <c r="AR37" s="2">
        <v>5003</v>
      </c>
      <c r="AS37" s="2">
        <v>0</v>
      </c>
      <c r="AT37" s="2"/>
      <c r="AU37" s="25">
        <f t="shared" si="23"/>
        <v>0</v>
      </c>
      <c r="AV37" s="2"/>
      <c r="AW37" s="2">
        <v>2877</v>
      </c>
      <c r="AX37" s="2">
        <v>0</v>
      </c>
      <c r="AY37" s="2"/>
      <c r="AZ37" s="25">
        <f t="shared" si="24"/>
        <v>0</v>
      </c>
      <c r="BA37" s="2"/>
      <c r="BB37" s="2">
        <f t="shared" si="25"/>
        <v>29647</v>
      </c>
      <c r="BC37" s="2">
        <f t="shared" si="26"/>
        <v>172</v>
      </c>
      <c r="BD37" s="2">
        <f t="shared" si="27"/>
        <v>278</v>
      </c>
      <c r="BE37" s="25">
        <f t="shared" si="28"/>
        <v>9.3770027321482784E-3</v>
      </c>
      <c r="BF37" s="2"/>
    </row>
    <row r="38" spans="1:58" x14ac:dyDescent="0.35">
      <c r="A38" s="2">
        <v>553946</v>
      </c>
      <c r="B38" s="2" t="s">
        <v>126</v>
      </c>
      <c r="C38" s="6" t="s">
        <v>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>
        <v>21715</v>
      </c>
      <c r="AI38" s="2">
        <v>0</v>
      </c>
      <c r="AJ38" s="2"/>
      <c r="AK38" s="25">
        <f t="shared" si="21"/>
        <v>0</v>
      </c>
      <c r="AL38" s="2"/>
      <c r="AM38" s="2">
        <v>45163</v>
      </c>
      <c r="AN38" s="2">
        <v>0</v>
      </c>
      <c r="AO38" s="2"/>
      <c r="AP38" s="25">
        <f t="shared" si="22"/>
        <v>0</v>
      </c>
      <c r="AQ38" s="2"/>
      <c r="AR38" s="2">
        <v>20</v>
      </c>
      <c r="AS38" s="2">
        <v>0</v>
      </c>
      <c r="AT38" s="2"/>
      <c r="AU38" s="25">
        <f t="shared" si="23"/>
        <v>0</v>
      </c>
      <c r="AV38" s="2"/>
      <c r="AW38" s="2">
        <v>5142</v>
      </c>
      <c r="AX38" s="2">
        <v>0</v>
      </c>
      <c r="AY38" s="2"/>
      <c r="AZ38" s="25">
        <f t="shared" si="24"/>
        <v>0</v>
      </c>
      <c r="BA38" s="2"/>
      <c r="BB38" s="2">
        <f t="shared" si="25"/>
        <v>72040</v>
      </c>
      <c r="BC38" s="2">
        <f t="shared" si="26"/>
        <v>0</v>
      </c>
      <c r="BD38" s="2">
        <f t="shared" si="27"/>
        <v>0</v>
      </c>
      <c r="BE38" s="25">
        <f t="shared" si="28"/>
        <v>0</v>
      </c>
      <c r="BF38" s="2"/>
    </row>
    <row r="39" spans="1:58" x14ac:dyDescent="0.35">
      <c r="A39" s="2">
        <v>553883</v>
      </c>
      <c r="B39" s="2" t="s">
        <v>127</v>
      </c>
      <c r="C39" s="6" t="s">
        <v>11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>
        <v>37542</v>
      </c>
      <c r="AI39" s="2">
        <v>1476</v>
      </c>
      <c r="AJ39" s="2">
        <v>959</v>
      </c>
      <c r="AK39" s="25">
        <f t="shared" si="21"/>
        <v>2.5544723243300836E-2</v>
      </c>
      <c r="AL39" s="2"/>
      <c r="AM39" s="2">
        <v>40249</v>
      </c>
      <c r="AN39" s="2">
        <v>406</v>
      </c>
      <c r="AO39" s="2">
        <v>149</v>
      </c>
      <c r="AP39" s="25">
        <f t="shared" si="22"/>
        <v>3.7019553280826854E-3</v>
      </c>
      <c r="AQ39" s="2"/>
      <c r="AR39" s="2">
        <v>20580</v>
      </c>
      <c r="AS39" s="2">
        <v>422</v>
      </c>
      <c r="AT39" s="2">
        <v>442</v>
      </c>
      <c r="AU39" s="25">
        <f t="shared" si="23"/>
        <v>2.1477162293488825E-2</v>
      </c>
      <c r="AV39" s="2"/>
      <c r="AW39" s="2">
        <v>21800</v>
      </c>
      <c r="AX39" s="2">
        <v>1836</v>
      </c>
      <c r="AY39" s="2">
        <v>2693</v>
      </c>
      <c r="AZ39" s="25">
        <f t="shared" si="24"/>
        <v>0.12353211009174311</v>
      </c>
      <c r="BA39" s="2"/>
      <c r="BB39" s="2">
        <f t="shared" si="25"/>
        <v>120171</v>
      </c>
      <c r="BC39" s="2">
        <f t="shared" si="26"/>
        <v>4140</v>
      </c>
      <c r="BD39" s="2">
        <f t="shared" si="27"/>
        <v>4243</v>
      </c>
      <c r="BE39" s="25">
        <f t="shared" si="28"/>
        <v>3.5308019405680242E-2</v>
      </c>
      <c r="BF39" s="2"/>
    </row>
    <row r="40" spans="1:58" x14ac:dyDescent="0.35">
      <c r="A40" s="2">
        <v>98972</v>
      </c>
      <c r="B40" s="2" t="s">
        <v>128</v>
      </c>
      <c r="C40" s="6" t="s">
        <v>11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v>52247</v>
      </c>
      <c r="AI40" s="2">
        <v>4945</v>
      </c>
      <c r="AJ40" s="2">
        <v>3766</v>
      </c>
      <c r="AK40" s="25">
        <f t="shared" si="21"/>
        <v>7.2080693628342296E-2</v>
      </c>
      <c r="AL40" s="2"/>
      <c r="AM40" s="2">
        <v>75690</v>
      </c>
      <c r="AN40" s="2">
        <v>2145</v>
      </c>
      <c r="AO40" s="2">
        <v>384</v>
      </c>
      <c r="AP40" s="25">
        <f t="shared" si="22"/>
        <v>5.0733254062623858E-3</v>
      </c>
      <c r="AQ40" s="2"/>
      <c r="AR40" s="2">
        <v>608</v>
      </c>
      <c r="AS40" s="2">
        <v>0</v>
      </c>
      <c r="AT40" s="2"/>
      <c r="AU40" s="25">
        <f t="shared" si="23"/>
        <v>0</v>
      </c>
      <c r="AV40" s="2"/>
      <c r="AW40" s="2">
        <v>1527</v>
      </c>
      <c r="AX40" s="2">
        <v>0</v>
      </c>
      <c r="AY40" s="2"/>
      <c r="AZ40" s="25">
        <f t="shared" si="24"/>
        <v>0</v>
      </c>
      <c r="BA40" s="2"/>
      <c r="BB40" s="2">
        <f t="shared" si="25"/>
        <v>130072</v>
      </c>
      <c r="BC40" s="2">
        <f t="shared" si="26"/>
        <v>7090</v>
      </c>
      <c r="BD40" s="2">
        <f t="shared" si="27"/>
        <v>4150</v>
      </c>
      <c r="BE40" s="25">
        <f t="shared" si="28"/>
        <v>3.1905406236545912E-2</v>
      </c>
      <c r="BF40" s="2"/>
    </row>
    <row r="41" spans="1:58" x14ac:dyDescent="0.35">
      <c r="A41" s="2">
        <v>553886</v>
      </c>
      <c r="B41" s="2" t="s">
        <v>129</v>
      </c>
      <c r="C41" s="6" t="s">
        <v>11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v>10736</v>
      </c>
      <c r="AI41" s="2">
        <v>358</v>
      </c>
      <c r="AJ41" s="2">
        <v>478</v>
      </c>
      <c r="AK41" s="25">
        <f t="shared" si="21"/>
        <v>4.4523099850968702E-2</v>
      </c>
      <c r="AL41" s="2"/>
      <c r="AM41" s="2">
        <v>41436</v>
      </c>
      <c r="AN41" s="2">
        <v>978</v>
      </c>
      <c r="AO41" s="2">
        <v>725</v>
      </c>
      <c r="AP41" s="25">
        <f t="shared" si="22"/>
        <v>1.7496862631528141E-2</v>
      </c>
      <c r="AQ41" s="2"/>
      <c r="AR41" s="2">
        <v>40430</v>
      </c>
      <c r="AS41" s="2">
        <v>25230</v>
      </c>
      <c r="AT41" s="2">
        <v>22130</v>
      </c>
      <c r="AU41" s="25">
        <f t="shared" si="23"/>
        <v>0.54736581746228052</v>
      </c>
      <c r="AV41" s="2"/>
      <c r="AW41" s="2">
        <v>31485</v>
      </c>
      <c r="AX41" s="2">
        <v>21687</v>
      </c>
      <c r="AY41" s="2">
        <v>23361</v>
      </c>
      <c r="AZ41" s="25">
        <f t="shared" si="24"/>
        <v>0.74197236779418774</v>
      </c>
      <c r="BA41" s="2"/>
      <c r="BB41" s="2">
        <f t="shared" si="25"/>
        <v>124087</v>
      </c>
      <c r="BC41" s="2">
        <f t="shared" si="26"/>
        <v>48253</v>
      </c>
      <c r="BD41" s="2">
        <f t="shared" si="27"/>
        <v>46694</v>
      </c>
      <c r="BE41" s="25">
        <f t="shared" si="28"/>
        <v>0.37630049884355332</v>
      </c>
      <c r="BF41" s="2"/>
    </row>
    <row r="42" spans="1:58" x14ac:dyDescent="0.35">
      <c r="A42" s="2">
        <v>553874</v>
      </c>
      <c r="B42" s="2" t="s">
        <v>130</v>
      </c>
      <c r="C42" s="6" t="s">
        <v>11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>
        <v>3198</v>
      </c>
      <c r="AI42" s="2">
        <v>6</v>
      </c>
      <c r="AJ42" s="2">
        <v>4</v>
      </c>
      <c r="AK42" s="25">
        <f t="shared" si="21"/>
        <v>1.2507817385866166E-3</v>
      </c>
      <c r="AL42" s="2"/>
      <c r="AM42" s="2">
        <v>11664</v>
      </c>
      <c r="AN42" s="2">
        <v>1</v>
      </c>
      <c r="AO42" s="2"/>
      <c r="AP42" s="25">
        <f t="shared" si="22"/>
        <v>0</v>
      </c>
      <c r="AQ42" s="2"/>
      <c r="AR42" s="2">
        <v>5559</v>
      </c>
      <c r="AS42" s="2">
        <v>0</v>
      </c>
      <c r="AT42" s="2">
        <v>1</v>
      </c>
      <c r="AU42" s="25">
        <f t="shared" si="23"/>
        <v>1.7988846914912754E-4</v>
      </c>
      <c r="AV42" s="2"/>
      <c r="AW42" s="2">
        <v>3455</v>
      </c>
      <c r="AX42" s="2">
        <v>0</v>
      </c>
      <c r="AY42" s="2"/>
      <c r="AZ42" s="25">
        <f t="shared" si="24"/>
        <v>0</v>
      </c>
      <c r="BA42" s="2"/>
      <c r="BB42" s="2">
        <f t="shared" si="25"/>
        <v>23876</v>
      </c>
      <c r="BC42" s="2">
        <f t="shared" si="26"/>
        <v>7</v>
      </c>
      <c r="BD42" s="2">
        <f t="shared" si="27"/>
        <v>5</v>
      </c>
      <c r="BE42" s="25">
        <f t="shared" si="28"/>
        <v>2.0941531244764617E-4</v>
      </c>
      <c r="BF42" s="2"/>
    </row>
    <row r="43" spans="1:58" x14ac:dyDescent="0.35">
      <c r="A43" s="2">
        <v>553889</v>
      </c>
      <c r="B43" s="2" t="s">
        <v>131</v>
      </c>
      <c r="C43" s="6" t="s">
        <v>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v>21630</v>
      </c>
      <c r="AI43" s="2">
        <v>136</v>
      </c>
      <c r="AJ43" s="2">
        <v>94</v>
      </c>
      <c r="AK43" s="25">
        <f t="shared" si="21"/>
        <v>4.3458159963014331E-3</v>
      </c>
      <c r="AL43" s="2"/>
      <c r="AM43" s="2">
        <v>46456</v>
      </c>
      <c r="AN43" s="2">
        <v>33</v>
      </c>
      <c r="AO43" s="2"/>
      <c r="AP43" s="25">
        <f t="shared" si="22"/>
        <v>0</v>
      </c>
      <c r="AQ43" s="2"/>
      <c r="AR43" s="2">
        <v>3423</v>
      </c>
      <c r="AS43" s="2">
        <v>121</v>
      </c>
      <c r="AT43" s="2">
        <v>48</v>
      </c>
      <c r="AU43" s="25">
        <f t="shared" si="23"/>
        <v>1.4022787028921999E-2</v>
      </c>
      <c r="AV43" s="2"/>
      <c r="AW43" s="2">
        <v>2903</v>
      </c>
      <c r="AX43" s="2">
        <v>14</v>
      </c>
      <c r="AY43" s="2">
        <v>14</v>
      </c>
      <c r="AZ43" s="25">
        <f t="shared" si="24"/>
        <v>4.8225973131243542E-3</v>
      </c>
      <c r="BA43" s="2"/>
      <c r="BB43" s="2">
        <f t="shared" si="25"/>
        <v>74412</v>
      </c>
      <c r="BC43" s="2">
        <f t="shared" si="26"/>
        <v>304</v>
      </c>
      <c r="BD43" s="2">
        <f t="shared" si="27"/>
        <v>156</v>
      </c>
      <c r="BE43" s="25">
        <f t="shared" si="28"/>
        <v>2.0964360587002098E-3</v>
      </c>
      <c r="BF43" s="2"/>
    </row>
    <row r="44" spans="1:58" x14ac:dyDescent="0.35">
      <c r="A44" s="2">
        <v>1333843</v>
      </c>
      <c r="B44" s="2" t="s">
        <v>166</v>
      </c>
      <c r="C44" s="6" t="s">
        <v>11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5" t="e">
        <f t="shared" si="21"/>
        <v>#DIV/0!</v>
      </c>
      <c r="AL44" s="2"/>
      <c r="AM44" s="2"/>
      <c r="AN44" s="2"/>
      <c r="AO44" s="2"/>
      <c r="AP44" s="25" t="e">
        <f t="shared" si="22"/>
        <v>#DIV/0!</v>
      </c>
      <c r="AQ44" s="2"/>
      <c r="AR44" s="2">
        <v>20875</v>
      </c>
      <c r="AS44" s="2">
        <v>20875</v>
      </c>
      <c r="AT44" s="2">
        <v>18657</v>
      </c>
      <c r="AU44" s="25">
        <f t="shared" si="23"/>
        <v>0.89374850299401198</v>
      </c>
      <c r="AV44" s="2"/>
      <c r="AW44" s="2">
        <v>63382</v>
      </c>
      <c r="AX44" s="2">
        <v>63382</v>
      </c>
      <c r="AY44" s="2">
        <v>53563</v>
      </c>
      <c r="AZ44" s="25">
        <f t="shared" si="24"/>
        <v>0.84508219999368905</v>
      </c>
      <c r="BA44" s="2"/>
      <c r="BB44" s="2">
        <f t="shared" si="25"/>
        <v>84257</v>
      </c>
      <c r="BC44" s="2">
        <f t="shared" si="26"/>
        <v>84257</v>
      </c>
      <c r="BD44" s="2">
        <f t="shared" si="27"/>
        <v>72220</v>
      </c>
      <c r="BE44" s="25">
        <f t="shared" si="28"/>
        <v>0.85713946615711456</v>
      </c>
      <c r="BF44" s="2"/>
    </row>
    <row r="45" spans="1:58" x14ac:dyDescent="0.35">
      <c r="A45" s="6">
        <v>752852</v>
      </c>
      <c r="B45" s="6" t="s">
        <v>52</v>
      </c>
      <c r="C45" s="6" t="s">
        <v>51</v>
      </c>
      <c r="D45" s="6">
        <v>19833</v>
      </c>
      <c r="E45" s="6">
        <v>17247</v>
      </c>
      <c r="F45" s="6">
        <v>19833</v>
      </c>
      <c r="G45" s="14">
        <f t="shared" ref="G45:G68" si="29">F45/D45</f>
        <v>1</v>
      </c>
      <c r="H45" s="6">
        <f t="shared" ref="H45:H68" si="30">F45-E45</f>
        <v>2586</v>
      </c>
      <c r="I45" s="6">
        <v>16777</v>
      </c>
      <c r="J45" s="6">
        <v>15865</v>
      </c>
      <c r="K45" s="6">
        <v>14937</v>
      </c>
      <c r="L45" s="14">
        <f t="shared" ref="L45:L68" si="31">K45/I45</f>
        <v>0.89032604160457773</v>
      </c>
      <c r="M45" s="6">
        <f t="shared" ref="M45:M68" si="32">K45-J45</f>
        <v>-928</v>
      </c>
      <c r="N45" s="6">
        <v>15163</v>
      </c>
      <c r="O45" s="6">
        <v>12470</v>
      </c>
      <c r="P45" s="6">
        <v>12324</v>
      </c>
      <c r="Q45" s="14">
        <f t="shared" ref="Q45:Q69" si="33">P45/N45</f>
        <v>0.81276792191518832</v>
      </c>
      <c r="R45" s="6">
        <f t="shared" ref="R45:R69" si="34">P45-O45</f>
        <v>-146</v>
      </c>
      <c r="S45" s="6">
        <v>20834</v>
      </c>
      <c r="T45" s="6">
        <v>13696</v>
      </c>
      <c r="U45" s="6">
        <v>11771</v>
      </c>
      <c r="V45" s="14">
        <f t="shared" ref="V45:V75" si="35">U45/S45</f>
        <v>0.56498992032254969</v>
      </c>
      <c r="W45" s="6">
        <f t="shared" ref="W45:W69" si="36">U45-T45</f>
        <v>-1925</v>
      </c>
      <c r="X45" s="2">
        <v>21899</v>
      </c>
      <c r="Y45" s="2">
        <v>17941</v>
      </c>
      <c r="Z45" s="2">
        <v>16093</v>
      </c>
      <c r="AA45" s="25">
        <f t="shared" ref="AA45:AA75" si="37">Z45/X45</f>
        <v>0.73487373852687332</v>
      </c>
      <c r="AB45" s="2">
        <f t="shared" ref="AB45:AB75" si="38">Z45-Y45</f>
        <v>-1848</v>
      </c>
      <c r="AC45" s="2">
        <v>83385</v>
      </c>
      <c r="AD45" s="2">
        <v>82391</v>
      </c>
      <c r="AE45" s="2">
        <v>86035</v>
      </c>
      <c r="AF45" s="25">
        <f t="shared" ref="AF45:AF75" si="39">AE45/AC45</f>
        <v>1.0317802962163458</v>
      </c>
      <c r="AG45" s="2">
        <f t="shared" ref="AG45:AG75" si="40">AE45-AD45</f>
        <v>3644</v>
      </c>
      <c r="AH45" s="2">
        <v>10998</v>
      </c>
      <c r="AI45" s="2">
        <v>3666</v>
      </c>
      <c r="AJ45" s="2">
        <v>3384</v>
      </c>
      <c r="AK45" s="25">
        <f t="shared" si="21"/>
        <v>0.30769230769230771</v>
      </c>
      <c r="AL45" s="2"/>
      <c r="AM45" s="2">
        <v>10969</v>
      </c>
      <c r="AN45" s="2">
        <v>10969</v>
      </c>
      <c r="AO45" s="2">
        <v>9582</v>
      </c>
      <c r="AP45" s="25">
        <f t="shared" si="22"/>
        <v>0.87355273953869994</v>
      </c>
      <c r="AQ45" s="2"/>
      <c r="AR45" s="2">
        <v>21386</v>
      </c>
      <c r="AS45" s="2">
        <v>11298</v>
      </c>
      <c r="AT45" s="2">
        <v>7472</v>
      </c>
      <c r="AU45" s="25">
        <f t="shared" si="23"/>
        <v>0.34938744973347047</v>
      </c>
      <c r="AV45" s="2">
        <f t="shared" ref="AV45:AV75" si="41">AT45-AS45</f>
        <v>-3826</v>
      </c>
      <c r="AW45" s="2">
        <v>11591</v>
      </c>
      <c r="AX45" s="2">
        <v>5007</v>
      </c>
      <c r="AY45" s="2">
        <v>4646</v>
      </c>
      <c r="AZ45" s="25">
        <f t="shared" si="24"/>
        <v>0.40082822879820551</v>
      </c>
      <c r="BA45" s="2"/>
      <c r="BB45" s="2">
        <f t="shared" si="25"/>
        <v>232835</v>
      </c>
      <c r="BC45" s="2">
        <f t="shared" si="26"/>
        <v>190550</v>
      </c>
      <c r="BD45" s="2">
        <f t="shared" si="27"/>
        <v>186077</v>
      </c>
      <c r="BE45" s="25">
        <f t="shared" si="28"/>
        <v>0.79917967659501365</v>
      </c>
      <c r="BF45" s="2"/>
    </row>
    <row r="46" spans="1:58" x14ac:dyDescent="0.35">
      <c r="A46" s="6">
        <v>237326</v>
      </c>
      <c r="B46" s="6" t="s">
        <v>53</v>
      </c>
      <c r="C46" s="6" t="s">
        <v>51</v>
      </c>
      <c r="D46" s="6">
        <v>23160</v>
      </c>
      <c r="E46" s="6">
        <v>16839</v>
      </c>
      <c r="F46" s="6">
        <v>15124</v>
      </c>
      <c r="G46" s="14">
        <f t="shared" si="29"/>
        <v>0.65302245250431779</v>
      </c>
      <c r="H46" s="6">
        <f t="shared" si="30"/>
        <v>-1715</v>
      </c>
      <c r="I46" s="6">
        <v>26347</v>
      </c>
      <c r="J46" s="6">
        <v>14045</v>
      </c>
      <c r="K46" s="6">
        <v>13951</v>
      </c>
      <c r="L46" s="14">
        <f t="shared" si="31"/>
        <v>0.52951000113864954</v>
      </c>
      <c r="M46" s="6">
        <f t="shared" si="32"/>
        <v>-94</v>
      </c>
      <c r="N46" s="6">
        <v>15972</v>
      </c>
      <c r="O46" s="6">
        <v>1448</v>
      </c>
      <c r="P46" s="6">
        <v>1431</v>
      </c>
      <c r="Q46" s="14">
        <f t="shared" si="33"/>
        <v>8.959429000751315E-2</v>
      </c>
      <c r="R46" s="6">
        <f t="shared" si="34"/>
        <v>-17</v>
      </c>
      <c r="S46" s="6">
        <v>15946</v>
      </c>
      <c r="T46" s="6">
        <v>792</v>
      </c>
      <c r="U46" s="6">
        <v>560</v>
      </c>
      <c r="V46" s="14">
        <f t="shared" si="35"/>
        <v>3.5118525021949079E-2</v>
      </c>
      <c r="W46" s="6">
        <f t="shared" si="36"/>
        <v>-232</v>
      </c>
      <c r="X46" s="2">
        <v>19864</v>
      </c>
      <c r="Y46" s="2">
        <v>4304</v>
      </c>
      <c r="Z46" s="2">
        <v>3766</v>
      </c>
      <c r="AA46" s="25">
        <f t="shared" si="37"/>
        <v>0.18958920660491341</v>
      </c>
      <c r="AB46" s="2">
        <f t="shared" si="38"/>
        <v>-538</v>
      </c>
      <c r="AC46" s="2">
        <v>7012</v>
      </c>
      <c r="AD46" s="2">
        <v>960</v>
      </c>
      <c r="AE46" s="2">
        <v>398</v>
      </c>
      <c r="AF46" s="25">
        <f t="shared" si="39"/>
        <v>5.6759840273816316E-2</v>
      </c>
      <c r="AG46" s="2">
        <f t="shared" si="40"/>
        <v>-562</v>
      </c>
      <c r="AH46" s="2">
        <v>17065</v>
      </c>
      <c r="AI46" s="2">
        <v>1861</v>
      </c>
      <c r="AJ46" s="2">
        <v>554</v>
      </c>
      <c r="AK46" s="25">
        <f t="shared" si="21"/>
        <v>3.2464107823029595E-2</v>
      </c>
      <c r="AL46" s="2"/>
      <c r="AM46" s="2">
        <v>31794</v>
      </c>
      <c r="AN46" s="2">
        <v>2861</v>
      </c>
      <c r="AO46" s="2">
        <v>215</v>
      </c>
      <c r="AP46" s="25">
        <f t="shared" si="22"/>
        <v>6.7622821916084796E-3</v>
      </c>
      <c r="AQ46" s="2"/>
      <c r="AR46" s="2">
        <v>2009</v>
      </c>
      <c r="AS46" s="2">
        <v>22</v>
      </c>
      <c r="AT46" s="2">
        <v>4</v>
      </c>
      <c r="AU46" s="25">
        <f t="shared" si="23"/>
        <v>1.9910403185664509E-3</v>
      </c>
      <c r="AV46" s="2">
        <f t="shared" si="41"/>
        <v>-18</v>
      </c>
      <c r="AW46" s="2">
        <v>9875</v>
      </c>
      <c r="AX46" s="2">
        <v>1055</v>
      </c>
      <c r="AY46" s="2">
        <v>40</v>
      </c>
      <c r="AZ46" s="25">
        <f t="shared" si="24"/>
        <v>4.0506329113924053E-3</v>
      </c>
      <c r="BA46" s="2"/>
      <c r="BB46" s="2">
        <f t="shared" si="25"/>
        <v>169044</v>
      </c>
      <c r="BC46" s="2">
        <f t="shared" si="26"/>
        <v>44187</v>
      </c>
      <c r="BD46" s="2">
        <f t="shared" si="27"/>
        <v>36043</v>
      </c>
      <c r="BE46" s="25">
        <f t="shared" si="28"/>
        <v>0.21321667731478194</v>
      </c>
      <c r="BF46" s="2"/>
    </row>
    <row r="47" spans="1:58" x14ac:dyDescent="0.35">
      <c r="A47" s="6">
        <v>543860</v>
      </c>
      <c r="B47" s="6" t="s">
        <v>55</v>
      </c>
      <c r="C47" s="6" t="s">
        <v>51</v>
      </c>
      <c r="D47" s="6">
        <v>11365</v>
      </c>
      <c r="E47" s="6">
        <v>3547</v>
      </c>
      <c r="F47" s="6">
        <v>4023</v>
      </c>
      <c r="G47" s="14">
        <f t="shared" si="29"/>
        <v>0.35398152221733392</v>
      </c>
      <c r="H47" s="6">
        <f t="shared" si="30"/>
        <v>476</v>
      </c>
      <c r="I47" s="6">
        <v>5591</v>
      </c>
      <c r="J47" s="6">
        <v>535</v>
      </c>
      <c r="K47" s="6">
        <v>496</v>
      </c>
      <c r="L47" s="14">
        <f t="shared" si="31"/>
        <v>8.8714004650330885E-2</v>
      </c>
      <c r="M47" s="6">
        <f t="shared" si="32"/>
        <v>-39</v>
      </c>
      <c r="N47" s="6">
        <v>5112</v>
      </c>
      <c r="O47" s="6">
        <v>727</v>
      </c>
      <c r="P47" s="6">
        <v>726</v>
      </c>
      <c r="Q47" s="14">
        <f t="shared" si="33"/>
        <v>0.142018779342723</v>
      </c>
      <c r="R47" s="6">
        <f t="shared" si="34"/>
        <v>-1</v>
      </c>
      <c r="S47" s="6">
        <v>5062</v>
      </c>
      <c r="T47" s="6">
        <v>1012</v>
      </c>
      <c r="U47" s="6">
        <v>987</v>
      </c>
      <c r="V47" s="14">
        <f t="shared" si="35"/>
        <v>0.19498222046621888</v>
      </c>
      <c r="W47" s="6">
        <f t="shared" si="36"/>
        <v>-25</v>
      </c>
      <c r="X47" s="2">
        <v>6939</v>
      </c>
      <c r="Y47" s="2">
        <v>454</v>
      </c>
      <c r="Z47" s="2">
        <v>457</v>
      </c>
      <c r="AA47" s="25">
        <f t="shared" si="37"/>
        <v>6.5859633953019164E-2</v>
      </c>
      <c r="AB47" s="2">
        <f t="shared" si="38"/>
        <v>3</v>
      </c>
      <c r="AC47" s="2">
        <v>12986</v>
      </c>
      <c r="AD47" s="2">
        <v>2098</v>
      </c>
      <c r="AE47" s="2">
        <v>2019</v>
      </c>
      <c r="AF47" s="25">
        <f t="shared" si="39"/>
        <v>0.15547512705991068</v>
      </c>
      <c r="AG47" s="2">
        <f t="shared" si="40"/>
        <v>-79</v>
      </c>
      <c r="AH47" s="2">
        <v>7426</v>
      </c>
      <c r="AI47" s="2">
        <v>98</v>
      </c>
      <c r="AJ47" s="2">
        <v>93</v>
      </c>
      <c r="AK47" s="25">
        <f t="shared" si="21"/>
        <v>1.252356584971721E-2</v>
      </c>
      <c r="AL47" s="2"/>
      <c r="AM47" s="2">
        <v>11447</v>
      </c>
      <c r="AN47" s="2">
        <v>224</v>
      </c>
      <c r="AO47" s="2">
        <v>93</v>
      </c>
      <c r="AP47" s="25">
        <f t="shared" si="22"/>
        <v>8.1243994059578932E-3</v>
      </c>
      <c r="AQ47" s="2"/>
      <c r="AR47" s="2">
        <v>65355</v>
      </c>
      <c r="AS47" s="2">
        <v>3824</v>
      </c>
      <c r="AT47" s="2">
        <v>2478</v>
      </c>
      <c r="AU47" s="25">
        <f t="shared" si="23"/>
        <v>3.7915997245811336E-2</v>
      </c>
      <c r="AV47" s="2">
        <f t="shared" si="41"/>
        <v>-1346</v>
      </c>
      <c r="AW47" s="2">
        <v>41868</v>
      </c>
      <c r="AX47" s="2">
        <v>2627</v>
      </c>
      <c r="AY47" s="2">
        <v>1500</v>
      </c>
      <c r="AZ47" s="25">
        <f t="shared" si="24"/>
        <v>3.5826884494124391E-2</v>
      </c>
      <c r="BA47" s="2"/>
      <c r="BB47" s="2">
        <f t="shared" si="25"/>
        <v>173151</v>
      </c>
      <c r="BC47" s="2">
        <f t="shared" si="26"/>
        <v>15146</v>
      </c>
      <c r="BD47" s="2">
        <f t="shared" si="27"/>
        <v>12872</v>
      </c>
      <c r="BE47" s="25">
        <f t="shared" si="28"/>
        <v>7.433973814762837E-2</v>
      </c>
      <c r="BF47" s="2"/>
    </row>
    <row r="48" spans="1:58" x14ac:dyDescent="0.35">
      <c r="A48" s="6">
        <v>443926</v>
      </c>
      <c r="B48" s="6" t="s">
        <v>56</v>
      </c>
      <c r="C48" s="6" t="s">
        <v>51</v>
      </c>
      <c r="D48" s="6">
        <v>4717</v>
      </c>
      <c r="E48" s="6">
        <v>1934</v>
      </c>
      <c r="F48" s="6">
        <v>1445</v>
      </c>
      <c r="G48" s="14">
        <f t="shared" si="29"/>
        <v>0.30633877464490145</v>
      </c>
      <c r="H48" s="6">
        <f t="shared" si="30"/>
        <v>-489</v>
      </c>
      <c r="I48" s="6">
        <v>10851</v>
      </c>
      <c r="J48" s="6">
        <v>3014</v>
      </c>
      <c r="K48" s="6">
        <v>2883</v>
      </c>
      <c r="L48" s="14">
        <f t="shared" si="31"/>
        <v>0.26568979817528338</v>
      </c>
      <c r="M48" s="6">
        <f t="shared" si="32"/>
        <v>-131</v>
      </c>
      <c r="N48" s="6">
        <v>23293</v>
      </c>
      <c r="O48" s="6">
        <v>2875</v>
      </c>
      <c r="P48" s="6">
        <v>3243</v>
      </c>
      <c r="Q48" s="14">
        <f t="shared" si="33"/>
        <v>0.13922637702314</v>
      </c>
      <c r="R48" s="6">
        <f t="shared" si="34"/>
        <v>368</v>
      </c>
      <c r="S48" s="6">
        <v>19908</v>
      </c>
      <c r="T48" s="6">
        <v>2077</v>
      </c>
      <c r="U48" s="6">
        <v>1960</v>
      </c>
      <c r="V48" s="14">
        <f t="shared" si="35"/>
        <v>9.8452883263009841E-2</v>
      </c>
      <c r="W48" s="6">
        <f t="shared" si="36"/>
        <v>-117</v>
      </c>
      <c r="X48" s="2">
        <v>25416</v>
      </c>
      <c r="Y48" s="2">
        <v>702</v>
      </c>
      <c r="Z48" s="2">
        <v>853</v>
      </c>
      <c r="AA48" s="25">
        <f t="shared" si="37"/>
        <v>3.356153604028958E-2</v>
      </c>
      <c r="AB48" s="2">
        <f t="shared" si="38"/>
        <v>151</v>
      </c>
      <c r="AC48" s="2">
        <v>24424</v>
      </c>
      <c r="AD48" s="2">
        <v>1482</v>
      </c>
      <c r="AE48" s="2">
        <v>1467</v>
      </c>
      <c r="AF48" s="25">
        <f t="shared" si="39"/>
        <v>6.0063871601703241E-2</v>
      </c>
      <c r="AG48" s="2">
        <f t="shared" si="40"/>
        <v>-15</v>
      </c>
      <c r="AH48" s="2">
        <v>24849</v>
      </c>
      <c r="AI48" s="2">
        <v>1499</v>
      </c>
      <c r="AJ48" s="2">
        <v>1217</v>
      </c>
      <c r="AK48" s="25">
        <f t="shared" si="21"/>
        <v>4.8975813916052963E-2</v>
      </c>
      <c r="AL48" s="2"/>
      <c r="AM48" s="2">
        <v>23405</v>
      </c>
      <c r="AN48" s="2">
        <v>777</v>
      </c>
      <c r="AO48" s="2">
        <v>370</v>
      </c>
      <c r="AP48" s="25">
        <f t="shared" si="22"/>
        <v>1.5808587908566547E-2</v>
      </c>
      <c r="AQ48" s="2"/>
      <c r="AR48" s="2">
        <v>16128</v>
      </c>
      <c r="AS48" s="2">
        <v>1042</v>
      </c>
      <c r="AT48" s="2">
        <v>910</v>
      </c>
      <c r="AU48" s="25">
        <f t="shared" si="23"/>
        <v>5.6423611111111112E-2</v>
      </c>
      <c r="AV48" s="2">
        <f t="shared" si="41"/>
        <v>-132</v>
      </c>
      <c r="AW48" s="2">
        <v>17928</v>
      </c>
      <c r="AX48" s="2">
        <v>1473</v>
      </c>
      <c r="AY48" s="2">
        <v>1100</v>
      </c>
      <c r="AZ48" s="25">
        <f t="shared" si="24"/>
        <v>6.1356537260151715E-2</v>
      </c>
      <c r="BA48" s="2"/>
      <c r="BB48" s="2">
        <f t="shared" si="25"/>
        <v>190919</v>
      </c>
      <c r="BC48" s="2">
        <f t="shared" si="26"/>
        <v>16875</v>
      </c>
      <c r="BD48" s="2">
        <f t="shared" si="27"/>
        <v>15448</v>
      </c>
      <c r="BE48" s="25">
        <f t="shared" si="28"/>
        <v>8.0913895421618587E-2</v>
      </c>
      <c r="BF48" s="2"/>
    </row>
    <row r="49" spans="1:58" x14ac:dyDescent="0.35">
      <c r="A49" s="6">
        <v>358345</v>
      </c>
      <c r="B49" s="6" t="s">
        <v>57</v>
      </c>
      <c r="C49" s="6" t="s">
        <v>51</v>
      </c>
      <c r="D49" s="6">
        <v>73544</v>
      </c>
      <c r="E49" s="6">
        <v>22061</v>
      </c>
      <c r="F49" s="6">
        <v>20554</v>
      </c>
      <c r="G49" s="14">
        <f t="shared" si="29"/>
        <v>0.279478951376047</v>
      </c>
      <c r="H49" s="6">
        <f t="shared" si="30"/>
        <v>-1507</v>
      </c>
      <c r="I49" s="6">
        <v>64485</v>
      </c>
      <c r="J49" s="6">
        <v>28887</v>
      </c>
      <c r="K49" s="6">
        <v>27925</v>
      </c>
      <c r="L49" s="14">
        <f t="shared" si="31"/>
        <v>0.43304644490966893</v>
      </c>
      <c r="M49" s="6">
        <f t="shared" si="32"/>
        <v>-962</v>
      </c>
      <c r="N49" s="6">
        <v>65357</v>
      </c>
      <c r="O49" s="6">
        <v>27175</v>
      </c>
      <c r="P49" s="6">
        <v>26728</v>
      </c>
      <c r="Q49" s="14">
        <f t="shared" si="33"/>
        <v>0.40895389935278548</v>
      </c>
      <c r="R49" s="6">
        <f t="shared" si="34"/>
        <v>-447</v>
      </c>
      <c r="S49" s="6">
        <v>71172</v>
      </c>
      <c r="T49" s="6">
        <v>23897</v>
      </c>
      <c r="U49" s="6">
        <v>20623</v>
      </c>
      <c r="V49" s="14">
        <f t="shared" si="35"/>
        <v>0.28976282807845782</v>
      </c>
      <c r="W49" s="6">
        <f t="shared" si="36"/>
        <v>-3274</v>
      </c>
      <c r="X49" s="2">
        <v>70587</v>
      </c>
      <c r="Y49" s="2">
        <v>41765</v>
      </c>
      <c r="Z49" s="2">
        <v>43290</v>
      </c>
      <c r="AA49" s="25">
        <f t="shared" si="37"/>
        <v>0.6132857325003187</v>
      </c>
      <c r="AB49" s="2">
        <f t="shared" si="38"/>
        <v>1525</v>
      </c>
      <c r="AC49" s="2">
        <v>57293</v>
      </c>
      <c r="AD49" s="2">
        <v>25048</v>
      </c>
      <c r="AE49" s="2">
        <v>23790</v>
      </c>
      <c r="AF49" s="25">
        <f t="shared" si="39"/>
        <v>0.41523397273663448</v>
      </c>
      <c r="AG49" s="2">
        <f t="shared" si="40"/>
        <v>-1258</v>
      </c>
      <c r="AH49" s="2">
        <v>80694</v>
      </c>
      <c r="AI49" s="2">
        <v>15133</v>
      </c>
      <c r="AJ49" s="2">
        <v>13223</v>
      </c>
      <c r="AK49" s="25">
        <f t="shared" si="21"/>
        <v>0.16386596277294471</v>
      </c>
      <c r="AL49" s="2"/>
      <c r="AM49" s="2">
        <v>85388</v>
      </c>
      <c r="AN49" s="2">
        <v>17565</v>
      </c>
      <c r="AO49" s="2">
        <v>14486</v>
      </c>
      <c r="AP49" s="25">
        <f t="shared" si="22"/>
        <v>0.16964913102543683</v>
      </c>
      <c r="AQ49" s="2"/>
      <c r="AR49" s="2">
        <v>79277</v>
      </c>
      <c r="AS49" s="2">
        <v>12376</v>
      </c>
      <c r="AT49" s="2">
        <v>9398</v>
      </c>
      <c r="AU49" s="25">
        <f t="shared" si="23"/>
        <v>0.1185463627533837</v>
      </c>
      <c r="AV49" s="2">
        <f t="shared" si="41"/>
        <v>-2978</v>
      </c>
      <c r="AW49" s="2">
        <v>59684</v>
      </c>
      <c r="AX49" s="2">
        <v>12218</v>
      </c>
      <c r="AY49" s="2">
        <v>8981</v>
      </c>
      <c r="AZ49" s="25">
        <f t="shared" si="24"/>
        <v>0.15047583942095033</v>
      </c>
      <c r="BA49" s="2"/>
      <c r="BB49" s="2">
        <f t="shared" si="25"/>
        <v>707481</v>
      </c>
      <c r="BC49" s="2">
        <f t="shared" si="26"/>
        <v>226125</v>
      </c>
      <c r="BD49" s="2">
        <f t="shared" si="27"/>
        <v>208998</v>
      </c>
      <c r="BE49" s="25">
        <f t="shared" si="28"/>
        <v>0.29541146688038267</v>
      </c>
      <c r="BF49" s="2"/>
    </row>
    <row r="50" spans="1:58" x14ac:dyDescent="0.35">
      <c r="A50" s="6">
        <v>359001</v>
      </c>
      <c r="B50" s="6" t="s">
        <v>58</v>
      </c>
      <c r="C50" s="6" t="s">
        <v>51</v>
      </c>
      <c r="D50" s="6">
        <v>17919</v>
      </c>
      <c r="E50" s="6">
        <v>5595</v>
      </c>
      <c r="F50" s="6">
        <v>4729</v>
      </c>
      <c r="G50" s="14">
        <f t="shared" si="29"/>
        <v>0.26390981639600425</v>
      </c>
      <c r="H50" s="6">
        <f t="shared" si="30"/>
        <v>-866</v>
      </c>
      <c r="I50" s="6">
        <v>21049</v>
      </c>
      <c r="J50" s="6">
        <v>5132</v>
      </c>
      <c r="K50" s="6">
        <v>3786</v>
      </c>
      <c r="L50" s="14">
        <f t="shared" si="31"/>
        <v>0.17986602688963846</v>
      </c>
      <c r="M50" s="6">
        <f t="shared" si="32"/>
        <v>-1346</v>
      </c>
      <c r="N50" s="6">
        <v>15805</v>
      </c>
      <c r="O50" s="6">
        <v>4028</v>
      </c>
      <c r="P50" s="6">
        <v>3120</v>
      </c>
      <c r="Q50" s="14">
        <f t="shared" si="33"/>
        <v>0.19740588421385638</v>
      </c>
      <c r="R50" s="6">
        <f t="shared" si="34"/>
        <v>-908</v>
      </c>
      <c r="S50" s="6">
        <v>22123</v>
      </c>
      <c r="T50" s="6">
        <v>4719</v>
      </c>
      <c r="U50" s="6">
        <v>4504</v>
      </c>
      <c r="V50" s="14">
        <f t="shared" si="35"/>
        <v>0.20358902499660986</v>
      </c>
      <c r="W50" s="6">
        <f t="shared" si="36"/>
        <v>-215</v>
      </c>
      <c r="X50" s="2">
        <v>19428</v>
      </c>
      <c r="Y50" s="2">
        <v>5507</v>
      </c>
      <c r="Z50" s="2">
        <v>4353</v>
      </c>
      <c r="AA50" s="25">
        <f t="shared" si="37"/>
        <v>0.22405806053119209</v>
      </c>
      <c r="AB50" s="2">
        <f t="shared" si="38"/>
        <v>-1154</v>
      </c>
      <c r="AC50" s="2">
        <v>30470</v>
      </c>
      <c r="AD50" s="2">
        <v>5158</v>
      </c>
      <c r="AE50" s="2">
        <v>5244</v>
      </c>
      <c r="AF50" s="25">
        <f t="shared" si="39"/>
        <v>0.17210370856580243</v>
      </c>
      <c r="AG50" s="2">
        <f t="shared" si="40"/>
        <v>86</v>
      </c>
      <c r="AH50" s="2">
        <v>5938</v>
      </c>
      <c r="AI50" s="2">
        <v>817</v>
      </c>
      <c r="AJ50" s="2">
        <v>752</v>
      </c>
      <c r="AK50" s="25">
        <f t="shared" si="21"/>
        <v>0.12664196699225327</v>
      </c>
      <c r="AL50" s="2"/>
      <c r="AM50" s="2">
        <v>11402</v>
      </c>
      <c r="AN50" s="2">
        <v>429</v>
      </c>
      <c r="AO50" s="2">
        <v>218</v>
      </c>
      <c r="AP50" s="25">
        <f t="shared" si="22"/>
        <v>1.9119452727591652E-2</v>
      </c>
      <c r="AQ50" s="2"/>
      <c r="AR50" s="2">
        <v>7762</v>
      </c>
      <c r="AS50" s="2">
        <v>545</v>
      </c>
      <c r="AT50" s="2">
        <v>215</v>
      </c>
      <c r="AU50" s="25">
        <f t="shared" si="23"/>
        <v>2.7699046637464572E-2</v>
      </c>
      <c r="AV50" s="2">
        <f t="shared" si="41"/>
        <v>-330</v>
      </c>
      <c r="AW50" s="2">
        <v>51730</v>
      </c>
      <c r="AX50" s="2">
        <v>16379</v>
      </c>
      <c r="AY50" s="2">
        <v>16784</v>
      </c>
      <c r="AZ50" s="25">
        <f t="shared" si="24"/>
        <v>0.32445389522520779</v>
      </c>
      <c r="BA50" s="2"/>
      <c r="BB50" s="2">
        <f t="shared" si="25"/>
        <v>203626</v>
      </c>
      <c r="BC50" s="2">
        <f t="shared" si="26"/>
        <v>48309</v>
      </c>
      <c r="BD50" s="2">
        <f t="shared" si="27"/>
        <v>43705</v>
      </c>
      <c r="BE50" s="25">
        <f t="shared" si="28"/>
        <v>0.21463369117892608</v>
      </c>
      <c r="BF50" s="2"/>
    </row>
    <row r="51" spans="1:58" x14ac:dyDescent="0.35">
      <c r="A51" s="6">
        <v>443927</v>
      </c>
      <c r="B51" s="6" t="s">
        <v>59</v>
      </c>
      <c r="C51" s="6" t="s">
        <v>51</v>
      </c>
      <c r="D51" s="6">
        <v>13718</v>
      </c>
      <c r="E51" s="6">
        <v>3648</v>
      </c>
      <c r="F51" s="6">
        <v>3538</v>
      </c>
      <c r="G51" s="14">
        <f t="shared" si="29"/>
        <v>0.2579093162268552</v>
      </c>
      <c r="H51" s="6">
        <f t="shared" si="30"/>
        <v>-110</v>
      </c>
      <c r="I51" s="6">
        <v>13751</v>
      </c>
      <c r="J51" s="6">
        <v>1501</v>
      </c>
      <c r="K51" s="6">
        <v>1412</v>
      </c>
      <c r="L51" s="14">
        <f t="shared" si="31"/>
        <v>0.10268344120427605</v>
      </c>
      <c r="M51" s="6">
        <f t="shared" si="32"/>
        <v>-89</v>
      </c>
      <c r="N51" s="6">
        <v>24823</v>
      </c>
      <c r="O51" s="6">
        <v>4364</v>
      </c>
      <c r="P51" s="6">
        <v>3514</v>
      </c>
      <c r="Q51" s="14">
        <f t="shared" si="33"/>
        <v>0.1415622608065101</v>
      </c>
      <c r="R51" s="6">
        <f t="shared" si="34"/>
        <v>-850</v>
      </c>
      <c r="S51" s="6">
        <v>29579</v>
      </c>
      <c r="T51" s="6">
        <v>3115</v>
      </c>
      <c r="U51" s="6">
        <v>3159</v>
      </c>
      <c r="V51" s="14">
        <f t="shared" si="35"/>
        <v>0.10679874235099225</v>
      </c>
      <c r="W51" s="6">
        <f t="shared" si="36"/>
        <v>44</v>
      </c>
      <c r="X51" s="2">
        <v>15216</v>
      </c>
      <c r="Y51" s="2">
        <v>824</v>
      </c>
      <c r="Z51" s="2">
        <v>814</v>
      </c>
      <c r="AA51" s="25">
        <f t="shared" si="37"/>
        <v>5.3496319663512093E-2</v>
      </c>
      <c r="AB51" s="2">
        <f t="shared" si="38"/>
        <v>-10</v>
      </c>
      <c r="AC51" s="2">
        <v>12379</v>
      </c>
      <c r="AD51" s="2">
        <v>1596</v>
      </c>
      <c r="AE51" s="2">
        <v>1552</v>
      </c>
      <c r="AF51" s="25">
        <f t="shared" si="39"/>
        <v>0.12537361660877291</v>
      </c>
      <c r="AG51" s="2">
        <f t="shared" si="40"/>
        <v>-44</v>
      </c>
      <c r="AH51" s="2">
        <v>1670</v>
      </c>
      <c r="AI51" s="2">
        <v>1130</v>
      </c>
      <c r="AJ51" s="2">
        <v>722</v>
      </c>
      <c r="AK51" s="25">
        <f t="shared" si="21"/>
        <v>0.43233532934131735</v>
      </c>
      <c r="AL51" s="2"/>
      <c r="AM51" s="2">
        <v>18935</v>
      </c>
      <c r="AN51" s="2">
        <v>1336</v>
      </c>
      <c r="AO51" s="2">
        <v>777</v>
      </c>
      <c r="AP51" s="25">
        <f t="shared" si="22"/>
        <v>4.1035120147874304E-2</v>
      </c>
      <c r="AQ51" s="2"/>
      <c r="AR51" s="2">
        <v>10952</v>
      </c>
      <c r="AS51" s="2">
        <v>3000</v>
      </c>
      <c r="AT51" s="2">
        <v>2252</v>
      </c>
      <c r="AU51" s="25">
        <f t="shared" si="23"/>
        <v>0.20562454346238129</v>
      </c>
      <c r="AV51" s="2">
        <f t="shared" si="41"/>
        <v>-748</v>
      </c>
      <c r="AW51" s="2">
        <v>13956</v>
      </c>
      <c r="AX51" s="2">
        <v>2585</v>
      </c>
      <c r="AY51" s="2">
        <v>2341</v>
      </c>
      <c r="AZ51" s="25">
        <f t="shared" si="24"/>
        <v>0.16774147320149041</v>
      </c>
      <c r="BA51" s="2"/>
      <c r="BB51" s="2">
        <f t="shared" si="25"/>
        <v>154979</v>
      </c>
      <c r="BC51" s="2">
        <f t="shared" si="26"/>
        <v>23099</v>
      </c>
      <c r="BD51" s="2">
        <f t="shared" si="27"/>
        <v>20081</v>
      </c>
      <c r="BE51" s="25">
        <f t="shared" si="28"/>
        <v>0.12957239367914364</v>
      </c>
      <c r="BF51" s="2"/>
    </row>
    <row r="52" spans="1:58" x14ac:dyDescent="0.35">
      <c r="A52" s="6">
        <v>469031</v>
      </c>
      <c r="B52" s="6" t="s">
        <v>60</v>
      </c>
      <c r="C52" s="6" t="s">
        <v>51</v>
      </c>
      <c r="D52" s="6">
        <v>33259</v>
      </c>
      <c r="E52" s="6">
        <v>7313</v>
      </c>
      <c r="F52" s="6">
        <v>6970</v>
      </c>
      <c r="G52" s="14">
        <f t="shared" si="29"/>
        <v>0.209567335157401</v>
      </c>
      <c r="H52" s="6">
        <f t="shared" si="30"/>
        <v>-343</v>
      </c>
      <c r="I52" s="6">
        <v>24389</v>
      </c>
      <c r="J52" s="6">
        <v>4486</v>
      </c>
      <c r="K52" s="6">
        <v>4551</v>
      </c>
      <c r="L52" s="14">
        <f t="shared" si="31"/>
        <v>0.18660051662634794</v>
      </c>
      <c r="M52" s="6">
        <f t="shared" si="32"/>
        <v>65</v>
      </c>
      <c r="N52" s="6">
        <v>13701</v>
      </c>
      <c r="O52" s="6">
        <v>1617</v>
      </c>
      <c r="P52" s="6">
        <v>1457</v>
      </c>
      <c r="Q52" s="14">
        <f t="shared" si="33"/>
        <v>0.10634260272972776</v>
      </c>
      <c r="R52" s="6">
        <f t="shared" si="34"/>
        <v>-160</v>
      </c>
      <c r="S52" s="6">
        <v>22639</v>
      </c>
      <c r="T52" s="6">
        <v>6054</v>
      </c>
      <c r="U52" s="6">
        <v>4108</v>
      </c>
      <c r="V52" s="14">
        <f t="shared" si="35"/>
        <v>0.18145677812624234</v>
      </c>
      <c r="W52" s="6">
        <f t="shared" si="36"/>
        <v>-1946</v>
      </c>
      <c r="X52" s="2">
        <v>17542</v>
      </c>
      <c r="Y52" s="2">
        <v>7288</v>
      </c>
      <c r="Z52" s="2">
        <v>6848</v>
      </c>
      <c r="AA52" s="25">
        <f t="shared" si="37"/>
        <v>0.39037738000228023</v>
      </c>
      <c r="AB52" s="2">
        <f t="shared" si="38"/>
        <v>-440</v>
      </c>
      <c r="AC52" s="2">
        <v>9876</v>
      </c>
      <c r="AD52" s="2">
        <v>2876</v>
      </c>
      <c r="AE52" s="2">
        <v>2376</v>
      </c>
      <c r="AF52" s="25">
        <f t="shared" si="39"/>
        <v>0.24058323207776428</v>
      </c>
      <c r="AG52" s="2">
        <f t="shared" si="40"/>
        <v>-500</v>
      </c>
      <c r="AH52" s="2">
        <v>9314</v>
      </c>
      <c r="AI52" s="2">
        <v>4980</v>
      </c>
      <c r="AJ52" s="2">
        <v>2971</v>
      </c>
      <c r="AK52" s="25">
        <f t="shared" si="21"/>
        <v>0.31898217736740392</v>
      </c>
      <c r="AL52" s="2"/>
      <c r="AM52" s="2">
        <v>7373</v>
      </c>
      <c r="AN52" s="2">
        <v>5114</v>
      </c>
      <c r="AO52" s="2">
        <v>2334</v>
      </c>
      <c r="AP52" s="25">
        <f t="shared" si="22"/>
        <v>0.31656042316560423</v>
      </c>
      <c r="AQ52" s="2"/>
      <c r="AR52" s="2">
        <v>19543</v>
      </c>
      <c r="AS52" s="2">
        <v>10887</v>
      </c>
      <c r="AT52" s="2">
        <v>4254</v>
      </c>
      <c r="AU52" s="25">
        <f t="shared" si="23"/>
        <v>0.2176738474133961</v>
      </c>
      <c r="AV52" s="2">
        <f t="shared" si="41"/>
        <v>-6633</v>
      </c>
      <c r="AW52" s="2">
        <v>8543</v>
      </c>
      <c r="AX52" s="2">
        <v>1433</v>
      </c>
      <c r="AY52" s="2">
        <v>1</v>
      </c>
      <c r="AZ52" s="25">
        <f t="shared" si="24"/>
        <v>1.1705489874751258E-4</v>
      </c>
      <c r="BA52" s="2"/>
      <c r="BB52" s="2">
        <f t="shared" si="25"/>
        <v>166179</v>
      </c>
      <c r="BC52" s="2">
        <f t="shared" si="26"/>
        <v>52048</v>
      </c>
      <c r="BD52" s="2">
        <f t="shared" si="27"/>
        <v>35870</v>
      </c>
      <c r="BE52" s="25">
        <f t="shared" si="28"/>
        <v>0.21585158172813654</v>
      </c>
      <c r="BF52" s="2"/>
    </row>
    <row r="53" spans="1:58" x14ac:dyDescent="0.35">
      <c r="A53" s="6">
        <v>198664</v>
      </c>
      <c r="B53" s="6" t="s">
        <v>61</v>
      </c>
      <c r="C53" s="6" t="s">
        <v>51</v>
      </c>
      <c r="D53" s="6">
        <v>79967</v>
      </c>
      <c r="E53" s="6">
        <v>17357</v>
      </c>
      <c r="F53" s="6">
        <v>15526</v>
      </c>
      <c r="G53" s="14">
        <f t="shared" si="29"/>
        <v>0.19415508897420186</v>
      </c>
      <c r="H53" s="6">
        <f t="shared" si="30"/>
        <v>-1831</v>
      </c>
      <c r="I53" s="6">
        <v>65802</v>
      </c>
      <c r="J53" s="6">
        <v>19503</v>
      </c>
      <c r="K53" s="6">
        <v>17847</v>
      </c>
      <c r="L53" s="14">
        <f t="shared" si="31"/>
        <v>0.27122275918665084</v>
      </c>
      <c r="M53" s="6">
        <f t="shared" si="32"/>
        <v>-1656</v>
      </c>
      <c r="N53" s="6">
        <v>40051</v>
      </c>
      <c r="O53" s="6">
        <v>13076</v>
      </c>
      <c r="P53" s="6">
        <v>12833</v>
      </c>
      <c r="Q53" s="14">
        <f t="shared" si="33"/>
        <v>0.32041646900202242</v>
      </c>
      <c r="R53" s="6">
        <f t="shared" si="34"/>
        <v>-243</v>
      </c>
      <c r="S53" s="6">
        <v>42709</v>
      </c>
      <c r="T53" s="6">
        <v>11452</v>
      </c>
      <c r="U53" s="6">
        <v>10360</v>
      </c>
      <c r="V53" s="14">
        <f t="shared" si="35"/>
        <v>0.24257182326910018</v>
      </c>
      <c r="W53" s="6">
        <f t="shared" si="36"/>
        <v>-1092</v>
      </c>
      <c r="X53" s="2">
        <v>36599</v>
      </c>
      <c r="Y53" s="2">
        <v>12569</v>
      </c>
      <c r="Z53" s="2">
        <v>10550</v>
      </c>
      <c r="AA53" s="25">
        <f t="shared" si="37"/>
        <v>0.2882592420557939</v>
      </c>
      <c r="AB53" s="2">
        <f t="shared" si="38"/>
        <v>-2019</v>
      </c>
      <c r="AC53" s="2">
        <v>36096</v>
      </c>
      <c r="AD53" s="2">
        <v>9804</v>
      </c>
      <c r="AE53" s="2">
        <v>10727</v>
      </c>
      <c r="AF53" s="25">
        <f t="shared" si="39"/>
        <v>0.29717974290780141</v>
      </c>
      <c r="AG53" s="2">
        <f t="shared" si="40"/>
        <v>923</v>
      </c>
      <c r="AH53" s="2">
        <v>16271</v>
      </c>
      <c r="AI53" s="2">
        <v>2860</v>
      </c>
      <c r="AJ53" s="2">
        <v>2547</v>
      </c>
      <c r="AK53" s="25">
        <f t="shared" si="21"/>
        <v>0.15653616864359904</v>
      </c>
      <c r="AL53" s="2"/>
      <c r="AM53" s="2">
        <v>9600</v>
      </c>
      <c r="AN53" s="2">
        <v>1010</v>
      </c>
      <c r="AO53" s="2">
        <v>833</v>
      </c>
      <c r="AP53" s="25">
        <f t="shared" si="22"/>
        <v>8.6770833333333339E-2</v>
      </c>
      <c r="AQ53" s="2"/>
      <c r="AR53" s="2">
        <v>40800</v>
      </c>
      <c r="AS53" s="2">
        <v>8913</v>
      </c>
      <c r="AT53" s="2">
        <v>7265</v>
      </c>
      <c r="AU53" s="25">
        <f t="shared" si="23"/>
        <v>0.17806372549019608</v>
      </c>
      <c r="AV53" s="2">
        <f t="shared" si="41"/>
        <v>-1648</v>
      </c>
      <c r="AW53" s="2">
        <v>42880</v>
      </c>
      <c r="AX53" s="2">
        <v>5529</v>
      </c>
      <c r="AY53" s="2">
        <v>4194</v>
      </c>
      <c r="AZ53" s="25">
        <f t="shared" si="24"/>
        <v>9.7807835820895528E-2</v>
      </c>
      <c r="BA53" s="2"/>
      <c r="BB53" s="2">
        <f t="shared" si="25"/>
        <v>410775</v>
      </c>
      <c r="BC53" s="2">
        <f t="shared" si="26"/>
        <v>102073</v>
      </c>
      <c r="BD53" s="2">
        <f t="shared" si="27"/>
        <v>92682</v>
      </c>
      <c r="BE53" s="25">
        <f t="shared" si="28"/>
        <v>0.22562716815775061</v>
      </c>
      <c r="BF53" s="2"/>
    </row>
    <row r="54" spans="1:58" x14ac:dyDescent="0.35">
      <c r="A54" s="6">
        <v>218247</v>
      </c>
      <c r="B54" s="6" t="s">
        <v>62</v>
      </c>
      <c r="C54" s="6" t="s">
        <v>51</v>
      </c>
      <c r="D54" s="6">
        <v>45691</v>
      </c>
      <c r="E54" s="6">
        <v>9852</v>
      </c>
      <c r="F54" s="6">
        <v>8070</v>
      </c>
      <c r="G54" s="14">
        <f t="shared" si="29"/>
        <v>0.17662121643212012</v>
      </c>
      <c r="H54" s="6">
        <f t="shared" si="30"/>
        <v>-1782</v>
      </c>
      <c r="I54" s="6">
        <v>37927</v>
      </c>
      <c r="J54" s="6">
        <v>7457</v>
      </c>
      <c r="K54" s="6">
        <v>5514</v>
      </c>
      <c r="L54" s="14">
        <f t="shared" si="31"/>
        <v>0.14538455453898277</v>
      </c>
      <c r="M54" s="6">
        <f t="shared" si="32"/>
        <v>-1943</v>
      </c>
      <c r="N54" s="6">
        <v>26636</v>
      </c>
      <c r="O54" s="6">
        <v>5549</v>
      </c>
      <c r="P54" s="6">
        <v>5301</v>
      </c>
      <c r="Q54" s="14">
        <f t="shared" si="33"/>
        <v>0.19901636882414778</v>
      </c>
      <c r="R54" s="6">
        <f t="shared" si="34"/>
        <v>-248</v>
      </c>
      <c r="S54" s="6">
        <v>40538</v>
      </c>
      <c r="T54" s="6">
        <v>8522</v>
      </c>
      <c r="U54" s="6">
        <v>6279</v>
      </c>
      <c r="V54" s="14">
        <f t="shared" si="35"/>
        <v>0.15489170654694362</v>
      </c>
      <c r="W54" s="6">
        <f t="shared" si="36"/>
        <v>-2243</v>
      </c>
      <c r="X54" s="2">
        <v>39073</v>
      </c>
      <c r="Y54" s="2">
        <v>8310</v>
      </c>
      <c r="Z54" s="2">
        <v>8432</v>
      </c>
      <c r="AA54" s="25">
        <f t="shared" si="37"/>
        <v>0.21580119263941852</v>
      </c>
      <c r="AB54" s="2">
        <f t="shared" si="38"/>
        <v>122</v>
      </c>
      <c r="AC54" s="2">
        <v>29375</v>
      </c>
      <c r="AD54" s="2">
        <v>6021</v>
      </c>
      <c r="AE54" s="2">
        <v>3799</v>
      </c>
      <c r="AF54" s="25">
        <f t="shared" si="39"/>
        <v>0.1293276595744681</v>
      </c>
      <c r="AG54" s="2">
        <f t="shared" si="40"/>
        <v>-2222</v>
      </c>
      <c r="AH54" s="2">
        <v>14403</v>
      </c>
      <c r="AI54" s="2">
        <v>2874</v>
      </c>
      <c r="AJ54" s="2">
        <v>2492</v>
      </c>
      <c r="AK54" s="25">
        <f t="shared" si="21"/>
        <v>0.17301950982434214</v>
      </c>
      <c r="AL54" s="2"/>
      <c r="AM54" s="2">
        <v>9585</v>
      </c>
      <c r="AN54" s="2">
        <v>4869</v>
      </c>
      <c r="AO54" s="2">
        <v>3238</v>
      </c>
      <c r="AP54" s="25">
        <f t="shared" si="22"/>
        <v>0.33781950965049556</v>
      </c>
      <c r="AQ54" s="2"/>
      <c r="AR54" s="2">
        <v>2904</v>
      </c>
      <c r="AS54" s="2">
        <v>2539</v>
      </c>
      <c r="AT54" s="2">
        <v>2535</v>
      </c>
      <c r="AU54" s="25">
        <f t="shared" si="23"/>
        <v>0.87293388429752061</v>
      </c>
      <c r="AV54" s="2">
        <f t="shared" si="41"/>
        <v>-4</v>
      </c>
      <c r="AW54" s="2">
        <v>22677</v>
      </c>
      <c r="AX54" s="2">
        <v>4187</v>
      </c>
      <c r="AY54" s="2">
        <v>3159</v>
      </c>
      <c r="AZ54" s="25">
        <f t="shared" si="24"/>
        <v>0.13930414075935971</v>
      </c>
      <c r="BA54" s="2"/>
      <c r="BB54" s="2">
        <f t="shared" si="25"/>
        <v>268809</v>
      </c>
      <c r="BC54" s="2">
        <f t="shared" si="26"/>
        <v>60180</v>
      </c>
      <c r="BD54" s="2">
        <f t="shared" si="27"/>
        <v>48819</v>
      </c>
      <c r="BE54" s="25">
        <f t="shared" si="28"/>
        <v>0.18161222280504</v>
      </c>
      <c r="BF54" s="2"/>
    </row>
    <row r="55" spans="1:58" x14ac:dyDescent="0.35">
      <c r="A55" s="6">
        <v>386197</v>
      </c>
      <c r="B55" s="6" t="s">
        <v>63</v>
      </c>
      <c r="C55" s="6" t="s">
        <v>51</v>
      </c>
      <c r="D55" s="6">
        <v>11949</v>
      </c>
      <c r="E55" s="6">
        <v>1894</v>
      </c>
      <c r="F55" s="6">
        <v>1836</v>
      </c>
      <c r="G55" s="14">
        <f t="shared" si="29"/>
        <v>0.15365302535777053</v>
      </c>
      <c r="H55" s="6">
        <f t="shared" si="30"/>
        <v>-58</v>
      </c>
      <c r="I55" s="6">
        <v>12009</v>
      </c>
      <c r="J55" s="6">
        <v>1347</v>
      </c>
      <c r="K55" s="6">
        <v>1340</v>
      </c>
      <c r="L55" s="14">
        <f t="shared" si="31"/>
        <v>0.1115829794320926</v>
      </c>
      <c r="M55" s="6">
        <f t="shared" si="32"/>
        <v>-7</v>
      </c>
      <c r="N55" s="6">
        <v>4551</v>
      </c>
      <c r="O55" s="6">
        <v>848</v>
      </c>
      <c r="P55" s="6">
        <v>848</v>
      </c>
      <c r="Q55" s="14">
        <f t="shared" si="33"/>
        <v>0.1863326741375522</v>
      </c>
      <c r="R55" s="6">
        <f t="shared" si="34"/>
        <v>0</v>
      </c>
      <c r="S55" s="6">
        <v>7843</v>
      </c>
      <c r="T55" s="6">
        <v>819</v>
      </c>
      <c r="U55" s="6">
        <v>836</v>
      </c>
      <c r="V55" s="14">
        <f t="shared" si="35"/>
        <v>0.10659186535764376</v>
      </c>
      <c r="W55" s="6">
        <f t="shared" si="36"/>
        <v>17</v>
      </c>
      <c r="X55" s="2">
        <v>6984</v>
      </c>
      <c r="Y55" s="2">
        <v>100</v>
      </c>
      <c r="Z55" s="2">
        <v>103</v>
      </c>
      <c r="AA55" s="25">
        <f t="shared" si="37"/>
        <v>1.4747995418098511E-2</v>
      </c>
      <c r="AB55" s="2">
        <f t="shared" si="38"/>
        <v>3</v>
      </c>
      <c r="AC55" s="2">
        <v>5141</v>
      </c>
      <c r="AD55" s="2">
        <v>257</v>
      </c>
      <c r="AE55" s="2">
        <v>259</v>
      </c>
      <c r="AF55" s="25">
        <f t="shared" si="39"/>
        <v>5.0379303637424627E-2</v>
      </c>
      <c r="AG55" s="2">
        <f t="shared" si="40"/>
        <v>2</v>
      </c>
      <c r="AH55" s="2"/>
      <c r="AI55" s="2"/>
      <c r="AJ55" s="2"/>
      <c r="AK55" s="25" t="e">
        <f t="shared" si="21"/>
        <v>#DIV/0!</v>
      </c>
      <c r="AL55" s="2"/>
      <c r="AM55" s="2">
        <v>10058</v>
      </c>
      <c r="AN55" s="2">
        <v>425</v>
      </c>
      <c r="AO55" s="2">
        <v>81</v>
      </c>
      <c r="AP55" s="25">
        <f t="shared" si="22"/>
        <v>8.053290912706304E-3</v>
      </c>
      <c r="AQ55" s="2"/>
      <c r="AR55" s="2">
        <v>72695</v>
      </c>
      <c r="AS55" s="2">
        <v>1507</v>
      </c>
      <c r="AT55" s="2">
        <v>1628</v>
      </c>
      <c r="AU55" s="25">
        <f t="shared" si="23"/>
        <v>2.2394937753628174E-2</v>
      </c>
      <c r="AV55" s="2">
        <f t="shared" si="41"/>
        <v>121</v>
      </c>
      <c r="AW55" s="2">
        <v>30449</v>
      </c>
      <c r="AX55" s="2">
        <v>974</v>
      </c>
      <c r="AY55" s="2">
        <v>850</v>
      </c>
      <c r="AZ55" s="25">
        <f t="shared" si="24"/>
        <v>2.7915530887713882E-2</v>
      </c>
      <c r="BA55" s="2"/>
      <c r="BB55" s="2">
        <f t="shared" si="25"/>
        <v>161679</v>
      </c>
      <c r="BC55" s="2">
        <f t="shared" si="26"/>
        <v>8171</v>
      </c>
      <c r="BD55" s="2">
        <f t="shared" si="27"/>
        <v>7781</v>
      </c>
      <c r="BE55" s="25">
        <f t="shared" si="28"/>
        <v>4.8126225421978114E-2</v>
      </c>
      <c r="BF55" s="2"/>
    </row>
    <row r="56" spans="1:58" x14ac:dyDescent="0.35">
      <c r="A56" s="6">
        <v>423616</v>
      </c>
      <c r="B56" s="6" t="s">
        <v>65</v>
      </c>
      <c r="C56" s="6" t="s">
        <v>51</v>
      </c>
      <c r="D56" s="6">
        <v>74288</v>
      </c>
      <c r="E56" s="6">
        <v>7460</v>
      </c>
      <c r="F56" s="6">
        <v>7609</v>
      </c>
      <c r="G56" s="14">
        <f t="shared" si="29"/>
        <v>0.10242569459401249</v>
      </c>
      <c r="H56" s="6">
        <f t="shared" si="30"/>
        <v>149</v>
      </c>
      <c r="I56" s="6">
        <v>78139</v>
      </c>
      <c r="J56" s="6">
        <v>9138</v>
      </c>
      <c r="K56" s="6">
        <v>9000</v>
      </c>
      <c r="L56" s="14">
        <f t="shared" si="31"/>
        <v>0.11517935985871332</v>
      </c>
      <c r="M56" s="6">
        <f t="shared" si="32"/>
        <v>-138</v>
      </c>
      <c r="N56" s="6">
        <v>68195</v>
      </c>
      <c r="O56" s="6">
        <v>6318</v>
      </c>
      <c r="P56" s="6">
        <v>5989</v>
      </c>
      <c r="Q56" s="14">
        <f t="shared" si="33"/>
        <v>8.7821687807023971E-2</v>
      </c>
      <c r="R56" s="6">
        <f t="shared" si="34"/>
        <v>-329</v>
      </c>
      <c r="S56" s="6">
        <v>81254</v>
      </c>
      <c r="T56" s="6">
        <v>6606</v>
      </c>
      <c r="U56" s="6">
        <v>6918</v>
      </c>
      <c r="V56" s="14">
        <f t="shared" si="35"/>
        <v>8.5140423856056316E-2</v>
      </c>
      <c r="W56" s="6">
        <f t="shared" si="36"/>
        <v>312</v>
      </c>
      <c r="X56" s="2">
        <v>69971</v>
      </c>
      <c r="Y56" s="2">
        <v>7212</v>
      </c>
      <c r="Z56" s="2">
        <v>6307</v>
      </c>
      <c r="AA56" s="25">
        <f t="shared" si="37"/>
        <v>9.0137342613368393E-2</v>
      </c>
      <c r="AB56" s="2">
        <f t="shared" si="38"/>
        <v>-905</v>
      </c>
      <c r="AC56" s="2">
        <v>69147</v>
      </c>
      <c r="AD56" s="2">
        <v>8296</v>
      </c>
      <c r="AE56" s="2">
        <v>7471</v>
      </c>
      <c r="AF56" s="25">
        <f t="shared" si="39"/>
        <v>0.10804517911116895</v>
      </c>
      <c r="AG56" s="2">
        <f t="shared" si="40"/>
        <v>-825</v>
      </c>
      <c r="AH56" s="2">
        <v>90505</v>
      </c>
      <c r="AI56" s="2">
        <v>10450</v>
      </c>
      <c r="AJ56" s="2">
        <v>8946</v>
      </c>
      <c r="AK56" s="25">
        <f t="shared" si="21"/>
        <v>9.8845367659245342E-2</v>
      </c>
      <c r="AL56" s="2"/>
      <c r="AM56" s="2">
        <v>96539</v>
      </c>
      <c r="AN56" s="2">
        <v>11656</v>
      </c>
      <c r="AO56" s="2">
        <v>5773</v>
      </c>
      <c r="AP56" s="25">
        <f t="shared" si="22"/>
        <v>5.9799666456043669E-2</v>
      </c>
      <c r="AQ56" s="2"/>
      <c r="AR56" s="2">
        <v>81839</v>
      </c>
      <c r="AS56" s="2">
        <v>6987</v>
      </c>
      <c r="AT56" s="2">
        <v>3251</v>
      </c>
      <c r="AU56" s="25">
        <f t="shared" si="23"/>
        <v>3.97243368076345E-2</v>
      </c>
      <c r="AV56" s="2">
        <f t="shared" si="41"/>
        <v>-3736</v>
      </c>
      <c r="AW56" s="2">
        <v>81315</v>
      </c>
      <c r="AX56" s="2">
        <v>8689</v>
      </c>
      <c r="AY56" s="2">
        <v>6832</v>
      </c>
      <c r="AZ56" s="25">
        <f t="shared" si="24"/>
        <v>8.4018938695197692E-2</v>
      </c>
      <c r="BA56" s="2"/>
      <c r="BB56" s="2">
        <f t="shared" si="25"/>
        <v>791192</v>
      </c>
      <c r="BC56" s="2">
        <f t="shared" si="26"/>
        <v>82812</v>
      </c>
      <c r="BD56" s="2">
        <f t="shared" si="27"/>
        <v>68096</v>
      </c>
      <c r="BE56" s="25">
        <f t="shared" si="28"/>
        <v>8.6067604323602873E-2</v>
      </c>
      <c r="BF56" s="2"/>
    </row>
    <row r="57" spans="1:58" x14ac:dyDescent="0.35">
      <c r="A57" s="6">
        <v>330012</v>
      </c>
      <c r="B57" s="6" t="s">
        <v>66</v>
      </c>
      <c r="C57" s="6" t="s">
        <v>51</v>
      </c>
      <c r="D57" s="6">
        <v>12126</v>
      </c>
      <c r="E57" s="6">
        <v>1506</v>
      </c>
      <c r="F57" s="6">
        <v>1236</v>
      </c>
      <c r="G57" s="14">
        <f t="shared" si="29"/>
        <v>0.10192973775358734</v>
      </c>
      <c r="H57" s="6">
        <f t="shared" si="30"/>
        <v>-270</v>
      </c>
      <c r="I57" s="6">
        <v>16020</v>
      </c>
      <c r="J57" s="6">
        <v>2077</v>
      </c>
      <c r="K57" s="6">
        <v>1719</v>
      </c>
      <c r="L57" s="14">
        <f t="shared" si="31"/>
        <v>0.10730337078651686</v>
      </c>
      <c r="M57" s="6">
        <f t="shared" si="32"/>
        <v>-358</v>
      </c>
      <c r="N57" s="6">
        <v>7979</v>
      </c>
      <c r="O57" s="6">
        <v>346</v>
      </c>
      <c r="P57" s="6">
        <v>305</v>
      </c>
      <c r="Q57" s="14">
        <f t="shared" si="33"/>
        <v>3.822534152149392E-2</v>
      </c>
      <c r="R57" s="6">
        <f t="shared" si="34"/>
        <v>-41</v>
      </c>
      <c r="S57" s="6">
        <v>9393</v>
      </c>
      <c r="T57" s="6">
        <v>619</v>
      </c>
      <c r="U57" s="6">
        <v>448</v>
      </c>
      <c r="V57" s="14">
        <f t="shared" si="35"/>
        <v>4.7695092089854146E-2</v>
      </c>
      <c r="W57" s="6">
        <f t="shared" si="36"/>
        <v>-171</v>
      </c>
      <c r="X57" s="2">
        <v>8715</v>
      </c>
      <c r="Y57" s="2">
        <v>769</v>
      </c>
      <c r="Z57" s="2">
        <v>703</v>
      </c>
      <c r="AA57" s="25">
        <f t="shared" si="37"/>
        <v>8.0665519219736082E-2</v>
      </c>
      <c r="AB57" s="2">
        <f t="shared" si="38"/>
        <v>-66</v>
      </c>
      <c r="AC57" s="2">
        <v>11713</v>
      </c>
      <c r="AD57" s="2">
        <v>1150</v>
      </c>
      <c r="AE57" s="2">
        <v>1046</v>
      </c>
      <c r="AF57" s="25">
        <f t="shared" si="39"/>
        <v>8.9302484419021597E-2</v>
      </c>
      <c r="AG57" s="2">
        <f t="shared" si="40"/>
        <v>-104</v>
      </c>
      <c r="AH57" s="2">
        <v>2009</v>
      </c>
      <c r="AI57" s="2">
        <v>204</v>
      </c>
      <c r="AJ57" s="2">
        <v>198</v>
      </c>
      <c r="AK57" s="25">
        <f t="shared" si="21"/>
        <v>9.8556495769039326E-2</v>
      </c>
      <c r="AL57" s="2"/>
      <c r="AM57" s="2">
        <v>12868</v>
      </c>
      <c r="AN57" s="2">
        <v>1068</v>
      </c>
      <c r="AO57" s="2">
        <v>659</v>
      </c>
      <c r="AP57" s="25">
        <f t="shared" si="22"/>
        <v>5.1212309605222259E-2</v>
      </c>
      <c r="AQ57" s="2"/>
      <c r="AR57" s="2">
        <v>5013</v>
      </c>
      <c r="AS57" s="2">
        <v>330</v>
      </c>
      <c r="AT57" s="2">
        <v>354</v>
      </c>
      <c r="AU57" s="25">
        <f t="shared" si="23"/>
        <v>7.0616397366846204E-2</v>
      </c>
      <c r="AV57" s="2">
        <f t="shared" si="41"/>
        <v>24</v>
      </c>
      <c r="AW57" s="2">
        <v>5079</v>
      </c>
      <c r="AX57" s="2">
        <v>348</v>
      </c>
      <c r="AY57" s="2">
        <v>126</v>
      </c>
      <c r="AZ57" s="25">
        <f t="shared" si="24"/>
        <v>2.4808033077377438E-2</v>
      </c>
      <c r="BA57" s="2"/>
      <c r="BB57" s="2">
        <f t="shared" si="25"/>
        <v>90915</v>
      </c>
      <c r="BC57" s="2">
        <f t="shared" si="26"/>
        <v>8417</v>
      </c>
      <c r="BD57" s="2">
        <f t="shared" si="27"/>
        <v>6794</v>
      </c>
      <c r="BE57" s="25">
        <f t="shared" si="28"/>
        <v>7.4729142605730631E-2</v>
      </c>
      <c r="BF57" s="2"/>
    </row>
    <row r="58" spans="1:58" x14ac:dyDescent="0.35">
      <c r="A58" s="6">
        <v>381917</v>
      </c>
      <c r="B58" s="6" t="s">
        <v>67</v>
      </c>
      <c r="C58" s="6" t="s">
        <v>51</v>
      </c>
      <c r="D58" s="6">
        <v>38346</v>
      </c>
      <c r="E58" s="6">
        <v>4097</v>
      </c>
      <c r="F58" s="6">
        <v>3630</v>
      </c>
      <c r="G58" s="14">
        <f t="shared" si="29"/>
        <v>9.4664371772805511E-2</v>
      </c>
      <c r="H58" s="6">
        <f t="shared" si="30"/>
        <v>-467</v>
      </c>
      <c r="I58" s="6">
        <v>26640</v>
      </c>
      <c r="J58" s="6">
        <v>4212</v>
      </c>
      <c r="K58" s="6">
        <v>4507</v>
      </c>
      <c r="L58" s="14">
        <f t="shared" si="31"/>
        <v>0.16918168168168168</v>
      </c>
      <c r="M58" s="6">
        <f t="shared" si="32"/>
        <v>295</v>
      </c>
      <c r="N58" s="6">
        <v>21625</v>
      </c>
      <c r="O58" s="6">
        <v>1776</v>
      </c>
      <c r="P58" s="6">
        <v>1801</v>
      </c>
      <c r="Q58" s="14">
        <f t="shared" si="33"/>
        <v>8.3283236994219648E-2</v>
      </c>
      <c r="R58" s="6">
        <f t="shared" si="34"/>
        <v>25</v>
      </c>
      <c r="S58" s="6">
        <v>26436</v>
      </c>
      <c r="T58" s="6">
        <v>2497</v>
      </c>
      <c r="U58" s="6">
        <v>2505</v>
      </c>
      <c r="V58" s="14">
        <f t="shared" si="35"/>
        <v>9.4757149341806624E-2</v>
      </c>
      <c r="W58" s="6">
        <f t="shared" si="36"/>
        <v>8</v>
      </c>
      <c r="X58" s="2">
        <v>26655</v>
      </c>
      <c r="Y58" s="2">
        <v>3654</v>
      </c>
      <c r="Z58" s="2">
        <v>3354</v>
      </c>
      <c r="AA58" s="25">
        <f t="shared" si="37"/>
        <v>0.12583005064715813</v>
      </c>
      <c r="AB58" s="2">
        <f t="shared" si="38"/>
        <v>-300</v>
      </c>
      <c r="AC58" s="2">
        <v>11976</v>
      </c>
      <c r="AD58" s="2">
        <v>1753</v>
      </c>
      <c r="AE58" s="2">
        <v>1419</v>
      </c>
      <c r="AF58" s="25">
        <f t="shared" si="39"/>
        <v>0.11848697394789579</v>
      </c>
      <c r="AG58" s="2">
        <f t="shared" si="40"/>
        <v>-334</v>
      </c>
      <c r="AH58" s="2">
        <v>14849</v>
      </c>
      <c r="AI58" s="2">
        <v>1150</v>
      </c>
      <c r="AJ58" s="2">
        <v>1010</v>
      </c>
      <c r="AK58" s="25">
        <f t="shared" si="21"/>
        <v>6.8018048353424468E-2</v>
      </c>
      <c r="AL58" s="2"/>
      <c r="AM58" s="2">
        <v>3793</v>
      </c>
      <c r="AN58" s="2">
        <v>1341</v>
      </c>
      <c r="AO58" s="2">
        <v>38</v>
      </c>
      <c r="AP58" s="25">
        <f t="shared" si="22"/>
        <v>1.0018455048774057E-2</v>
      </c>
      <c r="AQ58" s="2"/>
      <c r="AR58" s="2">
        <v>13550</v>
      </c>
      <c r="AS58" s="2">
        <v>2145</v>
      </c>
      <c r="AT58" s="2">
        <v>2752</v>
      </c>
      <c r="AU58" s="25">
        <f t="shared" si="23"/>
        <v>0.20309963099630995</v>
      </c>
      <c r="AV58" s="2">
        <f t="shared" si="41"/>
        <v>607</v>
      </c>
      <c r="AW58" s="2">
        <v>14978</v>
      </c>
      <c r="AX58" s="2">
        <v>46</v>
      </c>
      <c r="AY58" s="2">
        <v>14</v>
      </c>
      <c r="AZ58" s="25">
        <f t="shared" si="24"/>
        <v>9.3470423287488318E-4</v>
      </c>
      <c r="BA58" s="2"/>
      <c r="BB58" s="2">
        <f t="shared" si="25"/>
        <v>198848</v>
      </c>
      <c r="BC58" s="2">
        <f t="shared" si="26"/>
        <v>22671</v>
      </c>
      <c r="BD58" s="2">
        <f t="shared" si="27"/>
        <v>21030</v>
      </c>
      <c r="BE58" s="25">
        <f t="shared" si="28"/>
        <v>0.10575917283553267</v>
      </c>
      <c r="BF58" s="2"/>
    </row>
    <row r="59" spans="1:58" x14ac:dyDescent="0.35">
      <c r="A59" s="6">
        <v>552264</v>
      </c>
      <c r="B59" s="6" t="s">
        <v>68</v>
      </c>
      <c r="C59" s="6" t="s">
        <v>51</v>
      </c>
      <c r="D59" s="6">
        <v>10867</v>
      </c>
      <c r="E59" s="6">
        <v>838</v>
      </c>
      <c r="F59" s="6">
        <v>752</v>
      </c>
      <c r="G59" s="14">
        <f t="shared" si="29"/>
        <v>6.9200331278181648E-2</v>
      </c>
      <c r="H59" s="6">
        <f t="shared" si="30"/>
        <v>-86</v>
      </c>
      <c r="I59" s="6">
        <v>10032</v>
      </c>
      <c r="J59" s="6">
        <v>202</v>
      </c>
      <c r="K59" s="6">
        <v>143</v>
      </c>
      <c r="L59" s="14">
        <f t="shared" si="31"/>
        <v>1.425438596491228E-2</v>
      </c>
      <c r="M59" s="6">
        <f t="shared" si="32"/>
        <v>-59</v>
      </c>
      <c r="N59" s="6">
        <v>10525</v>
      </c>
      <c r="O59" s="6">
        <v>6201</v>
      </c>
      <c r="P59" s="6">
        <v>221</v>
      </c>
      <c r="Q59" s="14">
        <f t="shared" si="33"/>
        <v>2.0997624703087886E-2</v>
      </c>
      <c r="R59" s="6">
        <f t="shared" si="34"/>
        <v>-5980</v>
      </c>
      <c r="S59" s="6">
        <v>10905</v>
      </c>
      <c r="T59" s="6">
        <v>5109</v>
      </c>
      <c r="U59" s="6">
        <v>10826</v>
      </c>
      <c r="V59" s="14">
        <f t="shared" si="35"/>
        <v>0.99275561668959189</v>
      </c>
      <c r="W59" s="6">
        <f t="shared" si="36"/>
        <v>5717</v>
      </c>
      <c r="X59" s="2">
        <v>8927</v>
      </c>
      <c r="Y59" s="2">
        <v>1049</v>
      </c>
      <c r="Z59" s="2">
        <v>1049</v>
      </c>
      <c r="AA59" s="25">
        <f t="shared" si="37"/>
        <v>0.11750868152794892</v>
      </c>
      <c r="AB59" s="2">
        <f t="shared" si="38"/>
        <v>0</v>
      </c>
      <c r="AC59" s="2">
        <v>8306</v>
      </c>
      <c r="AD59" s="2">
        <v>754</v>
      </c>
      <c r="AE59" s="2">
        <v>707</v>
      </c>
      <c r="AF59" s="25">
        <f t="shared" si="39"/>
        <v>8.511919094630388E-2</v>
      </c>
      <c r="AG59" s="2">
        <f t="shared" si="40"/>
        <v>-47</v>
      </c>
      <c r="AH59" s="2">
        <v>2200</v>
      </c>
      <c r="AI59" s="2">
        <v>455</v>
      </c>
      <c r="AJ59" s="2">
        <v>441</v>
      </c>
      <c r="AK59" s="25">
        <f t="shared" si="21"/>
        <v>0.20045454545454544</v>
      </c>
      <c r="AL59" s="2"/>
      <c r="AM59" s="2">
        <v>1</v>
      </c>
      <c r="AN59" s="2">
        <v>1</v>
      </c>
      <c r="AO59" s="2">
        <v>1</v>
      </c>
      <c r="AP59" s="25">
        <f t="shared" si="22"/>
        <v>1</v>
      </c>
      <c r="AQ59" s="2"/>
      <c r="AR59" s="2">
        <v>9162</v>
      </c>
      <c r="AS59" s="2">
        <v>533</v>
      </c>
      <c r="AT59" s="2">
        <v>409</v>
      </c>
      <c r="AU59" s="25">
        <f t="shared" si="23"/>
        <v>4.4640908098668414E-2</v>
      </c>
      <c r="AV59" s="2">
        <f t="shared" si="41"/>
        <v>-124</v>
      </c>
      <c r="AW59" s="2">
        <v>14255</v>
      </c>
      <c r="AX59" s="2">
        <v>683</v>
      </c>
      <c r="AY59" s="2">
        <v>445</v>
      </c>
      <c r="AZ59" s="25">
        <f t="shared" si="24"/>
        <v>3.1217116801122415E-2</v>
      </c>
      <c r="BA59" s="2"/>
      <c r="BB59" s="2">
        <f t="shared" si="25"/>
        <v>85180</v>
      </c>
      <c r="BC59" s="2">
        <f t="shared" si="26"/>
        <v>15825</v>
      </c>
      <c r="BD59" s="2">
        <f t="shared" si="27"/>
        <v>14994</v>
      </c>
      <c r="BE59" s="25">
        <f t="shared" si="28"/>
        <v>0.17602723644047899</v>
      </c>
      <c r="BF59" s="2"/>
    </row>
    <row r="60" spans="1:58" x14ac:dyDescent="0.35">
      <c r="A60" s="6">
        <v>443928</v>
      </c>
      <c r="B60" s="6" t="s">
        <v>69</v>
      </c>
      <c r="C60" s="6" t="s">
        <v>51</v>
      </c>
      <c r="D60" s="6">
        <v>1123</v>
      </c>
      <c r="E60" s="6">
        <v>47</v>
      </c>
      <c r="F60" s="6">
        <v>44</v>
      </c>
      <c r="G60" s="14">
        <f t="shared" si="29"/>
        <v>3.9180765805877114E-2</v>
      </c>
      <c r="H60" s="6">
        <f t="shared" si="30"/>
        <v>-3</v>
      </c>
      <c r="I60" s="6">
        <v>1395</v>
      </c>
      <c r="J60" s="6">
        <v>114</v>
      </c>
      <c r="K60" s="6">
        <v>110</v>
      </c>
      <c r="L60" s="14">
        <f t="shared" si="31"/>
        <v>7.8853046594982074E-2</v>
      </c>
      <c r="M60" s="6">
        <f t="shared" si="32"/>
        <v>-4</v>
      </c>
      <c r="N60" s="6">
        <v>3217</v>
      </c>
      <c r="O60" s="6">
        <v>9</v>
      </c>
      <c r="P60" s="6">
        <v>9</v>
      </c>
      <c r="Q60" s="14">
        <f t="shared" si="33"/>
        <v>2.7976375505129004E-3</v>
      </c>
      <c r="R60" s="6">
        <f t="shared" si="34"/>
        <v>0</v>
      </c>
      <c r="S60" s="6">
        <v>7993</v>
      </c>
      <c r="T60" s="6">
        <v>279</v>
      </c>
      <c r="U60" s="6">
        <v>279</v>
      </c>
      <c r="V60" s="14">
        <f t="shared" si="35"/>
        <v>3.4905542349555861E-2</v>
      </c>
      <c r="W60" s="6">
        <f t="shared" si="36"/>
        <v>0</v>
      </c>
      <c r="X60" s="2">
        <v>3161</v>
      </c>
      <c r="Y60" s="2">
        <v>572</v>
      </c>
      <c r="Z60" s="2">
        <v>572</v>
      </c>
      <c r="AA60" s="25">
        <f t="shared" si="37"/>
        <v>0.18095539386270168</v>
      </c>
      <c r="AB60" s="2">
        <f t="shared" si="38"/>
        <v>0</v>
      </c>
      <c r="AC60" s="2">
        <v>2785</v>
      </c>
      <c r="AD60" s="2">
        <v>185</v>
      </c>
      <c r="AE60" s="2">
        <v>170</v>
      </c>
      <c r="AF60" s="25">
        <f t="shared" si="39"/>
        <v>6.1041292639138239E-2</v>
      </c>
      <c r="AG60" s="2">
        <f t="shared" si="40"/>
        <v>-15</v>
      </c>
      <c r="AH60" s="2">
        <v>1144</v>
      </c>
      <c r="AI60" s="2">
        <v>18</v>
      </c>
      <c r="AJ60" s="2">
        <v>8</v>
      </c>
      <c r="AK60" s="25">
        <f t="shared" si="21"/>
        <v>6.993006993006993E-3</v>
      </c>
      <c r="AL60" s="2"/>
      <c r="AM60" s="2">
        <v>9166</v>
      </c>
      <c r="AN60" s="2">
        <v>3</v>
      </c>
      <c r="AO60" s="2">
        <v>4</v>
      </c>
      <c r="AP60" s="25">
        <f t="shared" si="22"/>
        <v>4.363953742090334E-4</v>
      </c>
      <c r="AQ60" s="2"/>
      <c r="AR60" s="2">
        <v>1018</v>
      </c>
      <c r="AS60" s="2">
        <v>8</v>
      </c>
      <c r="AT60" s="2"/>
      <c r="AU60" s="25">
        <f t="shared" si="23"/>
        <v>0</v>
      </c>
      <c r="AV60" s="2">
        <f t="shared" si="41"/>
        <v>-8</v>
      </c>
      <c r="AW60" s="2">
        <v>4753</v>
      </c>
      <c r="AX60" s="2">
        <v>0</v>
      </c>
      <c r="AY60" s="2"/>
      <c r="AZ60" s="25">
        <f t="shared" si="24"/>
        <v>0</v>
      </c>
      <c r="BA60" s="2"/>
      <c r="BB60" s="2">
        <f t="shared" si="25"/>
        <v>35755</v>
      </c>
      <c r="BC60" s="2">
        <f t="shared" si="26"/>
        <v>1235</v>
      </c>
      <c r="BD60" s="2">
        <f t="shared" si="27"/>
        <v>1196</v>
      </c>
      <c r="BE60" s="25">
        <f t="shared" si="28"/>
        <v>3.3449867151447349E-2</v>
      </c>
      <c r="BF60" s="2"/>
    </row>
    <row r="61" spans="1:58" x14ac:dyDescent="0.35">
      <c r="A61" s="6">
        <v>232420</v>
      </c>
      <c r="B61" s="6" t="s">
        <v>70</v>
      </c>
      <c r="C61" s="6" t="s">
        <v>51</v>
      </c>
      <c r="D61" s="6">
        <v>5522</v>
      </c>
      <c r="E61" s="6">
        <v>222</v>
      </c>
      <c r="F61" s="6">
        <v>207</v>
      </c>
      <c r="G61" s="14">
        <f t="shared" si="29"/>
        <v>3.7486417964505615E-2</v>
      </c>
      <c r="H61" s="6">
        <f t="shared" si="30"/>
        <v>-15</v>
      </c>
      <c r="I61" s="6">
        <v>1662</v>
      </c>
      <c r="J61" s="6">
        <v>58</v>
      </c>
      <c r="K61" s="6">
        <v>0</v>
      </c>
      <c r="L61" s="14">
        <f t="shared" si="31"/>
        <v>0</v>
      </c>
      <c r="M61" s="6">
        <f t="shared" si="32"/>
        <v>-58</v>
      </c>
      <c r="N61" s="6">
        <v>3970</v>
      </c>
      <c r="O61" s="6">
        <v>285</v>
      </c>
      <c r="P61" s="6">
        <v>222</v>
      </c>
      <c r="Q61" s="14">
        <f t="shared" si="33"/>
        <v>5.5919395465994962E-2</v>
      </c>
      <c r="R61" s="6">
        <f t="shared" si="34"/>
        <v>-63</v>
      </c>
      <c r="S61" s="6">
        <v>11024</v>
      </c>
      <c r="T61" s="6">
        <v>771</v>
      </c>
      <c r="U61" s="6">
        <v>322</v>
      </c>
      <c r="V61" s="14">
        <f t="shared" si="35"/>
        <v>2.920899854862119E-2</v>
      </c>
      <c r="W61" s="6">
        <f t="shared" si="36"/>
        <v>-449</v>
      </c>
      <c r="X61" s="2">
        <v>5277</v>
      </c>
      <c r="Y61" s="2">
        <v>540</v>
      </c>
      <c r="Z61" s="2">
        <v>610</v>
      </c>
      <c r="AA61" s="25">
        <f t="shared" si="37"/>
        <v>0.11559598256585181</v>
      </c>
      <c r="AB61" s="2">
        <f t="shared" si="38"/>
        <v>70</v>
      </c>
      <c r="AC61" s="2">
        <v>3936</v>
      </c>
      <c r="AD61" s="2">
        <v>148</v>
      </c>
      <c r="AE61" s="2">
        <v>239</v>
      </c>
      <c r="AF61" s="25">
        <f t="shared" si="39"/>
        <v>6.0721544715447155E-2</v>
      </c>
      <c r="AG61" s="2">
        <f t="shared" si="40"/>
        <v>91</v>
      </c>
      <c r="AH61" s="2">
        <v>4040</v>
      </c>
      <c r="AI61" s="2">
        <v>214</v>
      </c>
      <c r="AJ61" s="2">
        <v>190</v>
      </c>
      <c r="AK61" s="25">
        <f t="shared" si="21"/>
        <v>4.702970297029703E-2</v>
      </c>
      <c r="AL61" s="2"/>
      <c r="AM61" s="2"/>
      <c r="AN61" s="2"/>
      <c r="AO61" s="2"/>
      <c r="AP61" s="25" t="e">
        <f t="shared" si="22"/>
        <v>#DIV/0!</v>
      </c>
      <c r="AQ61" s="2"/>
      <c r="AR61" s="2"/>
      <c r="AS61" s="2"/>
      <c r="AT61" s="2"/>
      <c r="AU61" s="25" t="e">
        <f t="shared" si="23"/>
        <v>#DIV/0!</v>
      </c>
      <c r="AV61" s="2">
        <f t="shared" si="41"/>
        <v>0</v>
      </c>
      <c r="AW61" s="2">
        <v>3463</v>
      </c>
      <c r="AX61" s="2">
        <v>189</v>
      </c>
      <c r="AY61" s="2">
        <v>102</v>
      </c>
      <c r="AZ61" s="25">
        <f t="shared" si="24"/>
        <v>2.9454230436038117E-2</v>
      </c>
      <c r="BA61" s="2"/>
      <c r="BB61" s="2">
        <f t="shared" si="25"/>
        <v>38894</v>
      </c>
      <c r="BC61" s="2">
        <f t="shared" si="26"/>
        <v>2427</v>
      </c>
      <c r="BD61" s="2">
        <f t="shared" si="27"/>
        <v>1892</v>
      </c>
      <c r="BE61" s="25">
        <f t="shared" si="28"/>
        <v>4.8645035223941993E-2</v>
      </c>
      <c r="BF61" s="2"/>
    </row>
    <row r="62" spans="1:58" x14ac:dyDescent="0.35">
      <c r="A62" s="6">
        <v>1214237</v>
      </c>
      <c r="B62" s="6" t="s">
        <v>71</v>
      </c>
      <c r="C62" s="6" t="s">
        <v>51</v>
      </c>
      <c r="D62" s="6">
        <v>15430</v>
      </c>
      <c r="E62" s="6">
        <v>744</v>
      </c>
      <c r="F62" s="6">
        <v>535</v>
      </c>
      <c r="G62" s="14">
        <f t="shared" si="29"/>
        <v>3.4672715489306546E-2</v>
      </c>
      <c r="H62" s="6">
        <f t="shared" si="30"/>
        <v>-209</v>
      </c>
      <c r="I62" s="6">
        <v>13411</v>
      </c>
      <c r="J62" s="6">
        <v>3851</v>
      </c>
      <c r="K62" s="6">
        <v>1108</v>
      </c>
      <c r="L62" s="14">
        <f t="shared" si="31"/>
        <v>8.2618745805681904E-2</v>
      </c>
      <c r="M62" s="6">
        <f t="shared" si="32"/>
        <v>-2743</v>
      </c>
      <c r="N62" s="6">
        <v>14493</v>
      </c>
      <c r="O62" s="6">
        <v>2336</v>
      </c>
      <c r="P62" s="6">
        <v>757</v>
      </c>
      <c r="Q62" s="14">
        <f t="shared" si="33"/>
        <v>5.223211205409508E-2</v>
      </c>
      <c r="R62" s="6">
        <f t="shared" si="34"/>
        <v>-1579</v>
      </c>
      <c r="S62" s="6">
        <v>11604</v>
      </c>
      <c r="T62" s="6">
        <v>1429</v>
      </c>
      <c r="U62" s="6">
        <v>348</v>
      </c>
      <c r="V62" s="14">
        <f t="shared" si="35"/>
        <v>2.9989658738366079E-2</v>
      </c>
      <c r="W62" s="6">
        <f t="shared" si="36"/>
        <v>-1081</v>
      </c>
      <c r="X62" s="2">
        <v>5590</v>
      </c>
      <c r="Y62" s="2">
        <v>521</v>
      </c>
      <c r="Z62" s="2">
        <v>398</v>
      </c>
      <c r="AA62" s="25">
        <f t="shared" si="37"/>
        <v>7.1198568872987478E-2</v>
      </c>
      <c r="AB62" s="2">
        <f t="shared" si="38"/>
        <v>-123</v>
      </c>
      <c r="AC62" s="2">
        <v>6166</v>
      </c>
      <c r="AD62" s="2">
        <v>575</v>
      </c>
      <c r="AE62" s="2">
        <v>379</v>
      </c>
      <c r="AF62" s="25">
        <f t="shared" si="39"/>
        <v>6.1466104443723649E-2</v>
      </c>
      <c r="AG62" s="2">
        <f t="shared" si="40"/>
        <v>-196</v>
      </c>
      <c r="AH62" s="2">
        <v>3131</v>
      </c>
      <c r="AI62" s="2">
        <v>399</v>
      </c>
      <c r="AJ62" s="2">
        <v>235</v>
      </c>
      <c r="AK62" s="25">
        <f t="shared" si="21"/>
        <v>7.5055892686042791E-2</v>
      </c>
      <c r="AL62" s="2"/>
      <c r="AM62" s="2">
        <v>17446</v>
      </c>
      <c r="AN62" s="2">
        <v>215</v>
      </c>
      <c r="AO62" s="2">
        <v>66</v>
      </c>
      <c r="AP62" s="25">
        <f t="shared" si="22"/>
        <v>3.7831021437578815E-3</v>
      </c>
      <c r="AQ62" s="2"/>
      <c r="AR62" s="2">
        <v>14733</v>
      </c>
      <c r="AS62" s="2">
        <v>453</v>
      </c>
      <c r="AT62" s="2">
        <v>288</v>
      </c>
      <c r="AU62" s="25">
        <f t="shared" si="23"/>
        <v>1.9547953573610263E-2</v>
      </c>
      <c r="AV62" s="2">
        <f t="shared" si="41"/>
        <v>-165</v>
      </c>
      <c r="AW62" s="2">
        <v>6815</v>
      </c>
      <c r="AX62" s="2">
        <v>117</v>
      </c>
      <c r="AY62" s="2">
        <v>3</v>
      </c>
      <c r="AZ62" s="25">
        <f t="shared" si="24"/>
        <v>4.4020542920029346E-4</v>
      </c>
      <c r="BA62" s="2"/>
      <c r="BB62" s="2">
        <f t="shared" si="25"/>
        <v>108819</v>
      </c>
      <c r="BC62" s="2">
        <f t="shared" si="26"/>
        <v>10640</v>
      </c>
      <c r="BD62" s="2">
        <f t="shared" si="27"/>
        <v>4117</v>
      </c>
      <c r="BE62" s="25">
        <f t="shared" si="28"/>
        <v>3.783346658212261E-2</v>
      </c>
      <c r="BF62" s="2"/>
    </row>
    <row r="63" spans="1:58" x14ac:dyDescent="0.35">
      <c r="A63" s="6">
        <v>441155</v>
      </c>
      <c r="B63" s="6" t="s">
        <v>72</v>
      </c>
      <c r="C63" s="6" t="s">
        <v>51</v>
      </c>
      <c r="D63" s="6">
        <v>13173</v>
      </c>
      <c r="E63" s="6">
        <v>686</v>
      </c>
      <c r="F63" s="6">
        <v>372</v>
      </c>
      <c r="G63" s="14">
        <f t="shared" si="29"/>
        <v>2.8239580961056707E-2</v>
      </c>
      <c r="H63" s="6">
        <f t="shared" si="30"/>
        <v>-314</v>
      </c>
      <c r="I63" s="6">
        <v>7148</v>
      </c>
      <c r="J63" s="6">
        <v>502</v>
      </c>
      <c r="K63" s="6">
        <v>182</v>
      </c>
      <c r="L63" s="14">
        <f t="shared" si="31"/>
        <v>2.5461667599328483E-2</v>
      </c>
      <c r="M63" s="6">
        <f t="shared" si="32"/>
        <v>-320</v>
      </c>
      <c r="N63" s="6">
        <v>17024</v>
      </c>
      <c r="O63" s="6">
        <v>4911</v>
      </c>
      <c r="P63" s="6">
        <v>4787</v>
      </c>
      <c r="Q63" s="14">
        <f t="shared" si="33"/>
        <v>0.28119125939849626</v>
      </c>
      <c r="R63" s="6">
        <f t="shared" si="34"/>
        <v>-124</v>
      </c>
      <c r="S63" s="6">
        <v>18231</v>
      </c>
      <c r="T63" s="6">
        <v>3189</v>
      </c>
      <c r="U63" s="6">
        <v>3303</v>
      </c>
      <c r="V63" s="14">
        <f t="shared" si="35"/>
        <v>0.18117492183643244</v>
      </c>
      <c r="W63" s="6">
        <f t="shared" si="36"/>
        <v>114</v>
      </c>
      <c r="X63" s="2">
        <v>27603</v>
      </c>
      <c r="Y63" s="2">
        <v>8877</v>
      </c>
      <c r="Z63" s="2">
        <v>8759</v>
      </c>
      <c r="AA63" s="25">
        <f t="shared" si="37"/>
        <v>0.31732058109625766</v>
      </c>
      <c r="AB63" s="2">
        <f t="shared" si="38"/>
        <v>-118</v>
      </c>
      <c r="AC63" s="2">
        <v>22711</v>
      </c>
      <c r="AD63" s="2">
        <v>1829</v>
      </c>
      <c r="AE63" s="2">
        <v>1283</v>
      </c>
      <c r="AF63" s="25">
        <f t="shared" si="39"/>
        <v>5.6492448593192725E-2</v>
      </c>
      <c r="AG63" s="2">
        <f t="shared" si="40"/>
        <v>-546</v>
      </c>
      <c r="AH63" s="2">
        <v>70761</v>
      </c>
      <c r="AI63" s="2">
        <v>1927</v>
      </c>
      <c r="AJ63" s="2">
        <v>1903</v>
      </c>
      <c r="AK63" s="25">
        <f t="shared" si="21"/>
        <v>2.6893345204279193E-2</v>
      </c>
      <c r="AL63" s="2"/>
      <c r="AM63" s="2">
        <v>102166</v>
      </c>
      <c r="AN63" s="2">
        <v>2271</v>
      </c>
      <c r="AO63" s="2">
        <v>739</v>
      </c>
      <c r="AP63" s="25">
        <f t="shared" si="22"/>
        <v>7.2333261554724665E-3</v>
      </c>
      <c r="AQ63" s="2"/>
      <c r="AR63" s="2">
        <v>58531</v>
      </c>
      <c r="AS63" s="2">
        <v>1749</v>
      </c>
      <c r="AT63" s="2">
        <v>2168</v>
      </c>
      <c r="AU63" s="25">
        <f t="shared" si="23"/>
        <v>3.704020091917104E-2</v>
      </c>
      <c r="AV63" s="2">
        <f t="shared" si="41"/>
        <v>419</v>
      </c>
      <c r="AW63" s="2">
        <v>30079</v>
      </c>
      <c r="AX63" s="2">
        <v>2758</v>
      </c>
      <c r="AY63" s="2">
        <v>2077</v>
      </c>
      <c r="AZ63" s="25">
        <f t="shared" si="24"/>
        <v>6.9051497722663654E-2</v>
      </c>
      <c r="BA63" s="2"/>
      <c r="BB63" s="2">
        <f t="shared" si="25"/>
        <v>367427</v>
      </c>
      <c r="BC63" s="2">
        <f t="shared" si="26"/>
        <v>28699</v>
      </c>
      <c r="BD63" s="2">
        <f t="shared" si="27"/>
        <v>25573</v>
      </c>
      <c r="BE63" s="25">
        <f t="shared" si="28"/>
        <v>6.9600219907627908E-2</v>
      </c>
      <c r="BF63" s="2"/>
    </row>
    <row r="64" spans="1:58" x14ac:dyDescent="0.35">
      <c r="A64" s="6">
        <v>445325</v>
      </c>
      <c r="B64" s="6" t="s">
        <v>73</v>
      </c>
      <c r="C64" s="6" t="s">
        <v>51</v>
      </c>
      <c r="D64" s="6">
        <v>15996</v>
      </c>
      <c r="E64" s="6">
        <v>526</v>
      </c>
      <c r="F64" s="6">
        <v>437</v>
      </c>
      <c r="G64" s="14">
        <f t="shared" si="29"/>
        <v>2.7319329832458116E-2</v>
      </c>
      <c r="H64" s="6">
        <f t="shared" si="30"/>
        <v>-89</v>
      </c>
      <c r="I64" s="6">
        <v>8837</v>
      </c>
      <c r="J64" s="6">
        <v>1153</v>
      </c>
      <c r="K64" s="6">
        <v>414</v>
      </c>
      <c r="L64" s="14">
        <f t="shared" si="31"/>
        <v>4.6848477990268193E-2</v>
      </c>
      <c r="M64" s="6">
        <f t="shared" si="32"/>
        <v>-739</v>
      </c>
      <c r="N64" s="6">
        <v>6527</v>
      </c>
      <c r="O64" s="6">
        <v>32</v>
      </c>
      <c r="P64" s="6">
        <v>27</v>
      </c>
      <c r="Q64" s="14">
        <f t="shared" si="33"/>
        <v>4.1366630917726369E-3</v>
      </c>
      <c r="R64" s="6">
        <f t="shared" si="34"/>
        <v>-5</v>
      </c>
      <c r="S64" s="6">
        <v>1454</v>
      </c>
      <c r="T64" s="6">
        <v>28</v>
      </c>
      <c r="U64" s="6">
        <v>26</v>
      </c>
      <c r="V64" s="14">
        <f t="shared" si="35"/>
        <v>1.7881705639614855E-2</v>
      </c>
      <c r="W64" s="6">
        <f t="shared" si="36"/>
        <v>-2</v>
      </c>
      <c r="X64" s="2">
        <v>3726</v>
      </c>
      <c r="Y64" s="2">
        <v>2376</v>
      </c>
      <c r="Z64" s="2">
        <v>2255</v>
      </c>
      <c r="AA64" s="25">
        <f t="shared" si="37"/>
        <v>0.60520665593129364</v>
      </c>
      <c r="AB64" s="2">
        <f t="shared" si="38"/>
        <v>-121</v>
      </c>
      <c r="AC64" s="2">
        <v>3357</v>
      </c>
      <c r="AD64" s="2">
        <v>447</v>
      </c>
      <c r="AE64" s="2">
        <v>41</v>
      </c>
      <c r="AF64" s="25">
        <f t="shared" si="39"/>
        <v>1.2213285671730712E-2</v>
      </c>
      <c r="AG64" s="2">
        <f t="shared" si="40"/>
        <v>-406</v>
      </c>
      <c r="AH64" s="2">
        <v>9061</v>
      </c>
      <c r="AI64" s="2">
        <v>117</v>
      </c>
      <c r="AJ64" s="2">
        <v>36</v>
      </c>
      <c r="AK64" s="25">
        <f t="shared" si="21"/>
        <v>3.9730714049221938E-3</v>
      </c>
      <c r="AL64" s="2"/>
      <c r="AM64" s="2">
        <v>14146</v>
      </c>
      <c r="AN64" s="2">
        <v>371</v>
      </c>
      <c r="AO64" s="2">
        <v>309</v>
      </c>
      <c r="AP64" s="25">
        <f t="shared" si="22"/>
        <v>2.1843630708327441E-2</v>
      </c>
      <c r="AQ64" s="2"/>
      <c r="AR64" s="2">
        <v>3576</v>
      </c>
      <c r="AS64" s="2">
        <v>1564</v>
      </c>
      <c r="AT64" s="2">
        <v>1364</v>
      </c>
      <c r="AU64" s="25">
        <f t="shared" si="23"/>
        <v>0.38143176733780759</v>
      </c>
      <c r="AV64" s="2">
        <f t="shared" si="41"/>
        <v>-200</v>
      </c>
      <c r="AW64" s="2">
        <v>3401</v>
      </c>
      <c r="AX64" s="2">
        <v>67</v>
      </c>
      <c r="AY64" s="2"/>
      <c r="AZ64" s="25">
        <f t="shared" si="24"/>
        <v>0</v>
      </c>
      <c r="BA64" s="2"/>
      <c r="BB64" s="2">
        <f t="shared" si="25"/>
        <v>70081</v>
      </c>
      <c r="BC64" s="2">
        <f t="shared" si="26"/>
        <v>6681</v>
      </c>
      <c r="BD64" s="2">
        <f t="shared" si="27"/>
        <v>4909</v>
      </c>
      <c r="BE64" s="25">
        <f t="shared" si="28"/>
        <v>7.0047516445256197E-2</v>
      </c>
      <c r="BF64" s="2"/>
    </row>
    <row r="65" spans="1:58" x14ac:dyDescent="0.35">
      <c r="A65" s="6">
        <v>358949</v>
      </c>
      <c r="B65" s="6" t="s">
        <v>74</v>
      </c>
      <c r="C65" s="6" t="s">
        <v>51</v>
      </c>
      <c r="D65" s="6">
        <v>9691</v>
      </c>
      <c r="E65" s="6">
        <v>264</v>
      </c>
      <c r="F65" s="6">
        <v>212</v>
      </c>
      <c r="G65" s="14">
        <f t="shared" si="29"/>
        <v>2.1875967392425963E-2</v>
      </c>
      <c r="H65" s="6">
        <f t="shared" si="30"/>
        <v>-52</v>
      </c>
      <c r="I65" s="6">
        <v>3186</v>
      </c>
      <c r="J65" s="6">
        <v>45</v>
      </c>
      <c r="K65" s="6">
        <v>31</v>
      </c>
      <c r="L65" s="14">
        <f t="shared" si="31"/>
        <v>9.7300690521029496E-3</v>
      </c>
      <c r="M65" s="6">
        <f t="shared" si="32"/>
        <v>-14</v>
      </c>
      <c r="N65" s="6">
        <v>2076</v>
      </c>
      <c r="O65" s="6">
        <v>19</v>
      </c>
      <c r="P65" s="6">
        <v>0</v>
      </c>
      <c r="Q65" s="14">
        <f t="shared" si="33"/>
        <v>0</v>
      </c>
      <c r="R65" s="6">
        <f t="shared" si="34"/>
        <v>-19</v>
      </c>
      <c r="S65" s="6">
        <v>4191</v>
      </c>
      <c r="T65" s="6">
        <v>141</v>
      </c>
      <c r="U65" s="6">
        <v>106</v>
      </c>
      <c r="V65" s="14">
        <f t="shared" si="35"/>
        <v>2.5292293008828442E-2</v>
      </c>
      <c r="W65" s="6">
        <f t="shared" si="36"/>
        <v>-35</v>
      </c>
      <c r="X65" s="2">
        <v>327</v>
      </c>
      <c r="Y65" s="2">
        <v>327</v>
      </c>
      <c r="Z65" s="2">
        <v>354</v>
      </c>
      <c r="AA65" s="25">
        <f t="shared" si="37"/>
        <v>1.0825688073394495</v>
      </c>
      <c r="AB65" s="2">
        <f t="shared" si="38"/>
        <v>27</v>
      </c>
      <c r="AC65" s="2">
        <v>11243</v>
      </c>
      <c r="AD65" s="2">
        <v>2677</v>
      </c>
      <c r="AE65" s="2">
        <v>2673</v>
      </c>
      <c r="AF65" s="25">
        <f t="shared" si="39"/>
        <v>0.23774793204660677</v>
      </c>
      <c r="AG65" s="2">
        <f t="shared" si="40"/>
        <v>-4</v>
      </c>
      <c r="AH65" s="2">
        <v>4716</v>
      </c>
      <c r="AI65" s="2">
        <v>577</v>
      </c>
      <c r="AJ65" s="2">
        <v>581</v>
      </c>
      <c r="AK65" s="25">
        <f t="shared" ref="AK65:AK96" si="42">AJ65/AH65</f>
        <v>0.12319762510602206</v>
      </c>
      <c r="AL65" s="2"/>
      <c r="AM65" s="2">
        <v>26893</v>
      </c>
      <c r="AN65" s="2">
        <v>1377</v>
      </c>
      <c r="AO65" s="2">
        <v>751</v>
      </c>
      <c r="AP65" s="25">
        <f t="shared" ref="AP65:AP96" si="43">AO65/AM65</f>
        <v>2.7925482467556613E-2</v>
      </c>
      <c r="AQ65" s="2"/>
      <c r="AR65" s="2">
        <v>33214</v>
      </c>
      <c r="AS65" s="2">
        <v>1747</v>
      </c>
      <c r="AT65" s="2">
        <v>1120</v>
      </c>
      <c r="AU65" s="25">
        <f t="shared" ref="AU65:AU96" si="44">AT65/AR65</f>
        <v>3.3720720178238094E-2</v>
      </c>
      <c r="AV65" s="2">
        <f t="shared" si="41"/>
        <v>-627</v>
      </c>
      <c r="AW65" s="2">
        <v>35971</v>
      </c>
      <c r="AX65" s="2">
        <v>1586</v>
      </c>
      <c r="AY65" s="2">
        <v>941</v>
      </c>
      <c r="AZ65" s="25">
        <f t="shared" ref="AZ65:AZ96" si="45">AY65/AW65</f>
        <v>2.6159962191765588E-2</v>
      </c>
      <c r="BA65" s="2"/>
      <c r="BB65" s="2">
        <f t="shared" ref="BB65:BB96" si="46">AR65+AC65+X65+S65+N65+I65+D65+AM65+AH65+AW65</f>
        <v>131508</v>
      </c>
      <c r="BC65" s="2">
        <f t="shared" ref="BC65:BC96" si="47">AS65+AD65+Y65+T65+O65+J65+E65+AN65+AI65+AX65</f>
        <v>8760</v>
      </c>
      <c r="BD65" s="2">
        <f t="shared" ref="BD65:BD96" si="48">AT65+AE65+Z65+U65+P65+K65+F65+AO65+AJ65+AY65</f>
        <v>6769</v>
      </c>
      <c r="BE65" s="25">
        <f t="shared" ref="BE65:BE96" si="49">BD65/BB65</f>
        <v>5.1472153785321044E-2</v>
      </c>
      <c r="BF65" s="2"/>
    </row>
    <row r="66" spans="1:58" x14ac:dyDescent="0.35">
      <c r="A66" s="6">
        <v>195698</v>
      </c>
      <c r="B66" s="6" t="s">
        <v>75</v>
      </c>
      <c r="C66" s="6" t="s">
        <v>51</v>
      </c>
      <c r="D66" s="6">
        <v>24175</v>
      </c>
      <c r="E66" s="6">
        <v>315</v>
      </c>
      <c r="F66" s="6">
        <v>259</v>
      </c>
      <c r="G66" s="14">
        <f t="shared" si="29"/>
        <v>1.0713547052740434E-2</v>
      </c>
      <c r="H66" s="6">
        <f t="shared" si="30"/>
        <v>-56</v>
      </c>
      <c r="I66" s="6">
        <v>24876</v>
      </c>
      <c r="J66" s="6">
        <v>1148</v>
      </c>
      <c r="K66" s="6">
        <v>966</v>
      </c>
      <c r="L66" s="14">
        <f t="shared" si="31"/>
        <v>3.8832609744331885E-2</v>
      </c>
      <c r="M66" s="6">
        <f t="shared" si="32"/>
        <v>-182</v>
      </c>
      <c r="N66" s="6">
        <v>7636</v>
      </c>
      <c r="O66" s="6">
        <v>360</v>
      </c>
      <c r="P66" s="6">
        <v>297</v>
      </c>
      <c r="Q66" s="14">
        <f t="shared" si="33"/>
        <v>3.8894709271870088E-2</v>
      </c>
      <c r="R66" s="6">
        <f t="shared" si="34"/>
        <v>-63</v>
      </c>
      <c r="S66" s="6">
        <v>5983</v>
      </c>
      <c r="T66" s="6">
        <v>339</v>
      </c>
      <c r="U66" s="6">
        <v>287</v>
      </c>
      <c r="V66" s="14">
        <f t="shared" si="35"/>
        <v>4.7969246197559753E-2</v>
      </c>
      <c r="W66" s="6">
        <f t="shared" si="36"/>
        <v>-52</v>
      </c>
      <c r="X66" s="2">
        <v>8524</v>
      </c>
      <c r="Y66" s="2">
        <v>318</v>
      </c>
      <c r="Z66" s="2">
        <v>283</v>
      </c>
      <c r="AA66" s="25">
        <f t="shared" si="37"/>
        <v>3.3200375410605353E-2</v>
      </c>
      <c r="AB66" s="2">
        <f t="shared" si="38"/>
        <v>-35</v>
      </c>
      <c r="AC66" s="2">
        <v>4801</v>
      </c>
      <c r="AD66" s="2">
        <v>135</v>
      </c>
      <c r="AE66" s="2">
        <v>127</v>
      </c>
      <c r="AF66" s="25">
        <f t="shared" si="39"/>
        <v>2.6452822328681524E-2</v>
      </c>
      <c r="AG66" s="2">
        <f t="shared" si="40"/>
        <v>-8</v>
      </c>
      <c r="AH66" s="2">
        <v>3010</v>
      </c>
      <c r="AI66" s="2">
        <v>242</v>
      </c>
      <c r="AJ66" s="2">
        <v>57</v>
      </c>
      <c r="AK66" s="25">
        <f t="shared" si="42"/>
        <v>1.8936877076411961E-2</v>
      </c>
      <c r="AL66" s="2"/>
      <c r="AM66" s="2">
        <v>27</v>
      </c>
      <c r="AN66" s="2">
        <v>27</v>
      </c>
      <c r="AO66" s="2">
        <v>27</v>
      </c>
      <c r="AP66" s="25">
        <f t="shared" si="43"/>
        <v>1</v>
      </c>
      <c r="AQ66" s="2"/>
      <c r="AR66" s="2">
        <v>4486</v>
      </c>
      <c r="AS66" s="2">
        <v>193</v>
      </c>
      <c r="AT66" s="2">
        <v>170</v>
      </c>
      <c r="AU66" s="25">
        <f t="shared" si="44"/>
        <v>3.7895675434685687E-2</v>
      </c>
      <c r="AV66" s="2">
        <f t="shared" si="41"/>
        <v>-23</v>
      </c>
      <c r="AW66" s="2">
        <v>3183</v>
      </c>
      <c r="AX66" s="2">
        <v>568</v>
      </c>
      <c r="AY66" s="2">
        <v>425</v>
      </c>
      <c r="AZ66" s="25">
        <f t="shared" si="45"/>
        <v>0.13352183474709395</v>
      </c>
      <c r="BA66" s="2"/>
      <c r="BB66" s="2">
        <f t="shared" si="46"/>
        <v>86701</v>
      </c>
      <c r="BC66" s="2">
        <f t="shared" si="47"/>
        <v>3645</v>
      </c>
      <c r="BD66" s="2">
        <f t="shared" si="48"/>
        <v>2898</v>
      </c>
      <c r="BE66" s="25">
        <f t="shared" si="49"/>
        <v>3.3425220008996434E-2</v>
      </c>
      <c r="BF66" s="2"/>
    </row>
    <row r="67" spans="1:58" x14ac:dyDescent="0.35">
      <c r="A67" s="6">
        <v>587965</v>
      </c>
      <c r="B67" s="6" t="s">
        <v>76</v>
      </c>
      <c r="C67" s="6" t="s">
        <v>51</v>
      </c>
      <c r="D67" s="6">
        <v>2138</v>
      </c>
      <c r="E67" s="6">
        <v>156</v>
      </c>
      <c r="F67" s="6">
        <v>15</v>
      </c>
      <c r="G67" s="14">
        <f t="shared" si="29"/>
        <v>7.0159027128157154E-3</v>
      </c>
      <c r="H67" s="6">
        <f t="shared" si="30"/>
        <v>-141</v>
      </c>
      <c r="I67" s="6">
        <v>2611</v>
      </c>
      <c r="J67" s="6">
        <v>410</v>
      </c>
      <c r="K67" s="6">
        <v>13</v>
      </c>
      <c r="L67" s="14">
        <f t="shared" si="31"/>
        <v>4.9789352738414403E-3</v>
      </c>
      <c r="M67" s="6">
        <f t="shared" si="32"/>
        <v>-397</v>
      </c>
      <c r="N67" s="6">
        <v>3996</v>
      </c>
      <c r="O67" s="6">
        <v>180</v>
      </c>
      <c r="P67" s="6">
        <v>5</v>
      </c>
      <c r="Q67" s="14">
        <f t="shared" si="33"/>
        <v>1.2512512512512512E-3</v>
      </c>
      <c r="R67" s="6">
        <f t="shared" si="34"/>
        <v>-175</v>
      </c>
      <c r="S67" s="6">
        <v>113</v>
      </c>
      <c r="T67" s="6">
        <v>113</v>
      </c>
      <c r="U67" s="6">
        <v>2</v>
      </c>
      <c r="V67" s="14">
        <f t="shared" si="35"/>
        <v>1.7699115044247787E-2</v>
      </c>
      <c r="W67" s="6">
        <f t="shared" si="36"/>
        <v>-111</v>
      </c>
      <c r="X67" s="2"/>
      <c r="Y67" s="2"/>
      <c r="Z67" s="2"/>
      <c r="AA67" s="25" t="e">
        <f t="shared" si="37"/>
        <v>#DIV/0!</v>
      </c>
      <c r="AB67" s="2">
        <f t="shared" si="38"/>
        <v>0</v>
      </c>
      <c r="AC67" s="2"/>
      <c r="AD67" s="2"/>
      <c r="AE67" s="2"/>
      <c r="AF67" s="25" t="e">
        <f t="shared" si="39"/>
        <v>#DIV/0!</v>
      </c>
      <c r="AG67" s="2">
        <f t="shared" si="40"/>
        <v>0</v>
      </c>
      <c r="AH67" s="2">
        <v>5832</v>
      </c>
      <c r="AI67" s="2">
        <v>150</v>
      </c>
      <c r="AJ67" s="2">
        <v>14</v>
      </c>
      <c r="AK67" s="25">
        <f t="shared" si="42"/>
        <v>2.4005486968449933E-3</v>
      </c>
      <c r="AL67" s="2"/>
      <c r="AM67" s="2">
        <v>8112</v>
      </c>
      <c r="AN67" s="2">
        <v>214</v>
      </c>
      <c r="AO67" s="2">
        <v>16</v>
      </c>
      <c r="AP67" s="25">
        <f t="shared" si="43"/>
        <v>1.9723865877712033E-3</v>
      </c>
      <c r="AQ67" s="2"/>
      <c r="AR67" s="2">
        <v>28899</v>
      </c>
      <c r="AS67" s="2">
        <v>142</v>
      </c>
      <c r="AT67" s="2">
        <v>52</v>
      </c>
      <c r="AU67" s="25">
        <f t="shared" si="44"/>
        <v>1.7993702204228521E-3</v>
      </c>
      <c r="AV67" s="2">
        <f t="shared" si="41"/>
        <v>-90</v>
      </c>
      <c r="AW67" s="2">
        <v>33258</v>
      </c>
      <c r="AX67" s="2">
        <v>65</v>
      </c>
      <c r="AY67" s="2">
        <v>106</v>
      </c>
      <c r="AZ67" s="25">
        <f t="shared" si="45"/>
        <v>3.1872030789584461E-3</v>
      </c>
      <c r="BA67" s="2"/>
      <c r="BB67" s="2">
        <f t="shared" si="46"/>
        <v>84959</v>
      </c>
      <c r="BC67" s="2">
        <f t="shared" si="47"/>
        <v>1430</v>
      </c>
      <c r="BD67" s="2">
        <f t="shared" si="48"/>
        <v>223</v>
      </c>
      <c r="BE67" s="25">
        <f t="shared" si="49"/>
        <v>2.6247954895890959E-3</v>
      </c>
      <c r="BF67" s="2"/>
    </row>
    <row r="68" spans="1:58" x14ac:dyDescent="0.35">
      <c r="A68" s="6">
        <v>195590</v>
      </c>
      <c r="B68" s="6" t="s">
        <v>79</v>
      </c>
      <c r="C68" s="6" t="s">
        <v>51</v>
      </c>
      <c r="D68" s="6">
        <v>4144</v>
      </c>
      <c r="E68" s="6">
        <v>11</v>
      </c>
      <c r="F68" s="6">
        <v>9</v>
      </c>
      <c r="G68" s="14">
        <f t="shared" si="29"/>
        <v>2.1718146718146718E-3</v>
      </c>
      <c r="H68" s="6">
        <f t="shared" si="30"/>
        <v>-2</v>
      </c>
      <c r="I68" s="6">
        <v>2295</v>
      </c>
      <c r="J68" s="6">
        <v>46</v>
      </c>
      <c r="K68" s="6">
        <v>44</v>
      </c>
      <c r="L68" s="14">
        <f t="shared" si="31"/>
        <v>1.9172113289760349E-2</v>
      </c>
      <c r="M68" s="6">
        <f t="shared" si="32"/>
        <v>-2</v>
      </c>
      <c r="N68" s="6">
        <v>0</v>
      </c>
      <c r="O68" s="6">
        <v>0</v>
      </c>
      <c r="P68" s="6">
        <v>0</v>
      </c>
      <c r="Q68" s="14" t="e">
        <f t="shared" si="33"/>
        <v>#DIV/0!</v>
      </c>
      <c r="R68" s="6">
        <f t="shared" si="34"/>
        <v>0</v>
      </c>
      <c r="S68" s="6">
        <v>2100</v>
      </c>
      <c r="T68" s="6">
        <v>3</v>
      </c>
      <c r="U68" s="6">
        <v>3</v>
      </c>
      <c r="V68" s="14">
        <f t="shared" si="35"/>
        <v>1.4285714285714286E-3</v>
      </c>
      <c r="W68" s="6">
        <f t="shared" si="36"/>
        <v>0</v>
      </c>
      <c r="X68" s="2">
        <v>4451</v>
      </c>
      <c r="Y68" s="2">
        <v>340</v>
      </c>
      <c r="Z68" s="2">
        <v>46</v>
      </c>
      <c r="AA68" s="25">
        <f t="shared" si="37"/>
        <v>1.0334756234554033E-2</v>
      </c>
      <c r="AB68" s="2">
        <f t="shared" si="38"/>
        <v>-294</v>
      </c>
      <c r="AC68" s="2">
        <v>5219</v>
      </c>
      <c r="AD68" s="2">
        <v>47</v>
      </c>
      <c r="AE68" s="2">
        <v>23</v>
      </c>
      <c r="AF68" s="25">
        <f t="shared" si="39"/>
        <v>4.4069745161908411E-3</v>
      </c>
      <c r="AG68" s="2">
        <f t="shared" si="40"/>
        <v>-24</v>
      </c>
      <c r="AH68" s="2"/>
      <c r="AI68" s="2"/>
      <c r="AJ68" s="2"/>
      <c r="AK68" s="25" t="e">
        <f t="shared" si="42"/>
        <v>#DIV/0!</v>
      </c>
      <c r="AL68" s="2"/>
      <c r="AM68" s="2"/>
      <c r="AN68" s="2"/>
      <c r="AO68" s="2"/>
      <c r="AP68" s="25" t="e">
        <f t="shared" si="43"/>
        <v>#DIV/0!</v>
      </c>
      <c r="AQ68" s="2"/>
      <c r="AR68" s="2"/>
      <c r="AS68" s="2"/>
      <c r="AT68" s="2"/>
      <c r="AU68" s="25" t="e">
        <f t="shared" si="44"/>
        <v>#DIV/0!</v>
      </c>
      <c r="AV68" s="2">
        <f t="shared" si="41"/>
        <v>0</v>
      </c>
      <c r="AW68" s="2">
        <v>2635</v>
      </c>
      <c r="AX68" s="2">
        <v>7</v>
      </c>
      <c r="AY68" s="2"/>
      <c r="AZ68" s="25">
        <f t="shared" si="45"/>
        <v>0</v>
      </c>
      <c r="BA68" s="2"/>
      <c r="BB68" s="2">
        <f t="shared" si="46"/>
        <v>20844</v>
      </c>
      <c r="BC68" s="2">
        <f t="shared" si="47"/>
        <v>454</v>
      </c>
      <c r="BD68" s="2">
        <f t="shared" si="48"/>
        <v>125</v>
      </c>
      <c r="BE68" s="25">
        <f t="shared" si="49"/>
        <v>5.9969295720591056E-3</v>
      </c>
      <c r="BF68" s="2"/>
    </row>
    <row r="69" spans="1:58" x14ac:dyDescent="0.35">
      <c r="A69" s="6">
        <v>471764</v>
      </c>
      <c r="B69" s="6" t="s">
        <v>108</v>
      </c>
      <c r="C69" s="6" t="s">
        <v>51</v>
      </c>
      <c r="D69" s="6"/>
      <c r="E69" s="6"/>
      <c r="F69" s="6"/>
      <c r="G69" s="14"/>
      <c r="H69" s="6"/>
      <c r="I69" s="6"/>
      <c r="J69" s="6"/>
      <c r="K69" s="6"/>
      <c r="L69" s="14"/>
      <c r="M69" s="6"/>
      <c r="N69" s="6">
        <v>1955</v>
      </c>
      <c r="O69" s="6">
        <v>146</v>
      </c>
      <c r="P69" s="6">
        <v>0</v>
      </c>
      <c r="Q69" s="14">
        <f t="shared" si="33"/>
        <v>0</v>
      </c>
      <c r="R69" s="6">
        <f t="shared" si="34"/>
        <v>-146</v>
      </c>
      <c r="S69" s="6">
        <v>0</v>
      </c>
      <c r="T69" s="6">
        <v>0</v>
      </c>
      <c r="U69" s="6">
        <v>0</v>
      </c>
      <c r="V69" s="14" t="e">
        <f t="shared" si="35"/>
        <v>#DIV/0!</v>
      </c>
      <c r="W69" s="6">
        <f t="shared" si="36"/>
        <v>0</v>
      </c>
      <c r="X69" s="2"/>
      <c r="Y69" s="2"/>
      <c r="Z69" s="2"/>
      <c r="AA69" s="25" t="e">
        <f t="shared" si="37"/>
        <v>#DIV/0!</v>
      </c>
      <c r="AB69" s="2">
        <f t="shared" si="38"/>
        <v>0</v>
      </c>
      <c r="AC69" s="2"/>
      <c r="AD69" s="2"/>
      <c r="AE69" s="2"/>
      <c r="AF69" s="25" t="e">
        <f t="shared" si="39"/>
        <v>#DIV/0!</v>
      </c>
      <c r="AG69" s="2">
        <f t="shared" si="40"/>
        <v>0</v>
      </c>
      <c r="AH69" s="2"/>
      <c r="AI69" s="2"/>
      <c r="AJ69" s="2"/>
      <c r="AK69" s="25" t="e">
        <f t="shared" si="42"/>
        <v>#DIV/0!</v>
      </c>
      <c r="AL69" s="2"/>
      <c r="AM69" s="2"/>
      <c r="AN69" s="2"/>
      <c r="AO69" s="2"/>
      <c r="AP69" s="25" t="e">
        <f t="shared" si="43"/>
        <v>#DIV/0!</v>
      </c>
      <c r="AQ69" s="2"/>
      <c r="AR69" s="2"/>
      <c r="AS69" s="2"/>
      <c r="AT69" s="2"/>
      <c r="AU69" s="25" t="e">
        <f t="shared" si="44"/>
        <v>#DIV/0!</v>
      </c>
      <c r="AV69" s="2">
        <f t="shared" si="41"/>
        <v>0</v>
      </c>
      <c r="AW69" s="2"/>
      <c r="AX69" s="2"/>
      <c r="AY69" s="2"/>
      <c r="AZ69" s="25" t="e">
        <f t="shared" si="45"/>
        <v>#DIV/0!</v>
      </c>
      <c r="BA69" s="2"/>
      <c r="BB69" s="2">
        <f t="shared" si="46"/>
        <v>1955</v>
      </c>
      <c r="BC69" s="2">
        <f t="shared" si="47"/>
        <v>146</v>
      </c>
      <c r="BD69" s="2">
        <f t="shared" si="48"/>
        <v>0</v>
      </c>
      <c r="BE69" s="25">
        <f t="shared" si="49"/>
        <v>0</v>
      </c>
      <c r="BF69" s="2"/>
    </row>
    <row r="70" spans="1:58" x14ac:dyDescent="0.35">
      <c r="A70" s="6">
        <v>207497</v>
      </c>
      <c r="B70" s="6" t="s">
        <v>110</v>
      </c>
      <c r="C70" s="6" t="s">
        <v>51</v>
      </c>
      <c r="D70" s="6"/>
      <c r="E70" s="6"/>
      <c r="F70" s="6"/>
      <c r="G70" s="14"/>
      <c r="H70" s="6"/>
      <c r="I70" s="6"/>
      <c r="J70" s="6"/>
      <c r="K70" s="6"/>
      <c r="L70" s="14"/>
      <c r="M70" s="6"/>
      <c r="N70" s="6"/>
      <c r="O70" s="6"/>
      <c r="P70" s="6"/>
      <c r="Q70" s="14"/>
      <c r="R70" s="6"/>
      <c r="S70" s="6">
        <v>7454</v>
      </c>
      <c r="T70" s="6">
        <v>885</v>
      </c>
      <c r="U70" s="6">
        <v>850</v>
      </c>
      <c r="V70" s="14">
        <f t="shared" si="35"/>
        <v>0.1140327341024953</v>
      </c>
      <c r="W70" s="6"/>
      <c r="X70" s="2">
        <v>2101</v>
      </c>
      <c r="Y70" s="2">
        <v>666</v>
      </c>
      <c r="Z70" s="2">
        <v>662</v>
      </c>
      <c r="AA70" s="25">
        <f t="shared" si="37"/>
        <v>0.31508805330794859</v>
      </c>
      <c r="AB70" s="2">
        <f t="shared" si="38"/>
        <v>-4</v>
      </c>
      <c r="AC70" s="2">
        <v>498</v>
      </c>
      <c r="AD70" s="2">
        <v>3</v>
      </c>
      <c r="AE70" s="2">
        <v>3</v>
      </c>
      <c r="AF70" s="25">
        <f t="shared" si="39"/>
        <v>6.024096385542169E-3</v>
      </c>
      <c r="AG70" s="2">
        <f t="shared" si="40"/>
        <v>0</v>
      </c>
      <c r="AH70" s="2">
        <v>1685</v>
      </c>
      <c r="AI70" s="2">
        <v>1685</v>
      </c>
      <c r="AJ70" s="2">
        <v>396</v>
      </c>
      <c r="AK70" s="25">
        <f t="shared" si="42"/>
        <v>0.23501483679525223</v>
      </c>
      <c r="AL70" s="2"/>
      <c r="AM70" s="2">
        <v>29849</v>
      </c>
      <c r="AN70" s="2">
        <v>2232</v>
      </c>
      <c r="AO70" s="2">
        <v>1674</v>
      </c>
      <c r="AP70" s="25">
        <f t="shared" si="43"/>
        <v>5.6082280813427587E-2</v>
      </c>
      <c r="AQ70" s="2"/>
      <c r="AR70" s="2">
        <v>98521</v>
      </c>
      <c r="AS70" s="2">
        <v>52371</v>
      </c>
      <c r="AT70" s="2">
        <v>28968</v>
      </c>
      <c r="AU70" s="25">
        <f t="shared" si="44"/>
        <v>0.29402868423990824</v>
      </c>
      <c r="AV70" s="2">
        <f t="shared" si="41"/>
        <v>-23403</v>
      </c>
      <c r="AW70" s="2">
        <v>61365</v>
      </c>
      <c r="AX70" s="2">
        <v>39901</v>
      </c>
      <c r="AY70" s="2">
        <v>33022</v>
      </c>
      <c r="AZ70" s="25">
        <f t="shared" si="45"/>
        <v>0.53812433797767456</v>
      </c>
      <c r="BA70" s="2"/>
      <c r="BB70" s="2">
        <f t="shared" si="46"/>
        <v>201473</v>
      </c>
      <c r="BC70" s="2">
        <f t="shared" si="47"/>
        <v>97743</v>
      </c>
      <c r="BD70" s="2">
        <f t="shared" si="48"/>
        <v>65575</v>
      </c>
      <c r="BE70" s="25">
        <f t="shared" si="49"/>
        <v>0.32547785559355347</v>
      </c>
      <c r="BF70" s="2"/>
    </row>
    <row r="71" spans="1:58" x14ac:dyDescent="0.35">
      <c r="A71" s="6">
        <v>380173</v>
      </c>
      <c r="B71" s="6" t="s">
        <v>81</v>
      </c>
      <c r="C71" s="6" t="s">
        <v>51</v>
      </c>
      <c r="D71" s="6">
        <v>3</v>
      </c>
      <c r="E71" s="6">
        <v>3</v>
      </c>
      <c r="F71" s="6">
        <v>3</v>
      </c>
      <c r="G71" s="14">
        <f>F71/D71</f>
        <v>1</v>
      </c>
      <c r="H71" s="6">
        <f>F71-E71</f>
        <v>0</v>
      </c>
      <c r="I71" s="6">
        <v>6</v>
      </c>
      <c r="J71" s="6">
        <v>6</v>
      </c>
      <c r="K71" s="6">
        <v>6</v>
      </c>
      <c r="L71" s="14">
        <f>K71/I71</f>
        <v>1</v>
      </c>
      <c r="M71" s="6">
        <f>K71-J71</f>
        <v>0</v>
      </c>
      <c r="N71" s="6">
        <v>20774</v>
      </c>
      <c r="O71" s="6">
        <v>1899</v>
      </c>
      <c r="P71" s="6">
        <v>2035</v>
      </c>
      <c r="Q71" s="14">
        <f>P71/N71</f>
        <v>9.7958987195532879E-2</v>
      </c>
      <c r="R71" s="6">
        <f>P71-O71</f>
        <v>136</v>
      </c>
      <c r="S71" s="6">
        <v>26087</v>
      </c>
      <c r="T71" s="6">
        <v>1079</v>
      </c>
      <c r="U71" s="6">
        <v>795</v>
      </c>
      <c r="V71" s="14">
        <f t="shared" si="35"/>
        <v>3.0474949208417985E-2</v>
      </c>
      <c r="W71" s="6">
        <f>U71-T71</f>
        <v>-284</v>
      </c>
      <c r="X71" s="2">
        <v>9950</v>
      </c>
      <c r="Y71" s="2">
        <v>519</v>
      </c>
      <c r="Z71" s="2">
        <v>797</v>
      </c>
      <c r="AA71" s="25">
        <f t="shared" si="37"/>
        <v>8.0100502512562816E-2</v>
      </c>
      <c r="AB71" s="2">
        <f t="shared" si="38"/>
        <v>278</v>
      </c>
      <c r="AC71" s="2">
        <v>4201</v>
      </c>
      <c r="AD71" s="2">
        <v>223</v>
      </c>
      <c r="AE71" s="2">
        <v>214</v>
      </c>
      <c r="AF71" s="25">
        <f t="shared" si="39"/>
        <v>5.0940252320875984E-2</v>
      </c>
      <c r="AG71" s="2">
        <f t="shared" si="40"/>
        <v>-9</v>
      </c>
      <c r="AH71" s="2">
        <v>5852</v>
      </c>
      <c r="AI71" s="2">
        <v>676</v>
      </c>
      <c r="AJ71" s="2">
        <v>564</v>
      </c>
      <c r="AK71" s="25">
        <f t="shared" si="42"/>
        <v>9.6377306903622686E-2</v>
      </c>
      <c r="AL71" s="2"/>
      <c r="AM71" s="2">
        <v>9368</v>
      </c>
      <c r="AN71" s="2">
        <v>141</v>
      </c>
      <c r="AO71" s="2">
        <v>91</v>
      </c>
      <c r="AP71" s="25">
        <f t="shared" si="43"/>
        <v>9.713919726729291E-3</v>
      </c>
      <c r="AQ71" s="2"/>
      <c r="AR71" s="2">
        <v>82165</v>
      </c>
      <c r="AS71" s="2">
        <v>5779</v>
      </c>
      <c r="AT71" s="2">
        <v>4546</v>
      </c>
      <c r="AU71" s="25">
        <f t="shared" si="44"/>
        <v>5.5327694273717518E-2</v>
      </c>
      <c r="AV71" s="2">
        <f t="shared" si="41"/>
        <v>-1233</v>
      </c>
      <c r="AW71" s="2">
        <v>51502</v>
      </c>
      <c r="AX71" s="2">
        <v>1613</v>
      </c>
      <c r="AY71" s="2">
        <v>1158</v>
      </c>
      <c r="AZ71" s="25">
        <f t="shared" si="45"/>
        <v>2.2484563706263835E-2</v>
      </c>
      <c r="BA71" s="2"/>
      <c r="BB71" s="2">
        <f t="shared" si="46"/>
        <v>209908</v>
      </c>
      <c r="BC71" s="2">
        <f t="shared" si="47"/>
        <v>11938</v>
      </c>
      <c r="BD71" s="2">
        <f t="shared" si="48"/>
        <v>10209</v>
      </c>
      <c r="BE71" s="25">
        <f t="shared" si="49"/>
        <v>4.8635592735865235E-2</v>
      </c>
      <c r="BF71" s="2"/>
    </row>
    <row r="72" spans="1:58" x14ac:dyDescent="0.35">
      <c r="A72" s="6">
        <v>179013</v>
      </c>
      <c r="B72" s="6" t="s">
        <v>82</v>
      </c>
      <c r="C72" s="6" t="s">
        <v>51</v>
      </c>
      <c r="D72" s="6">
        <v>10</v>
      </c>
      <c r="E72" s="6">
        <v>10</v>
      </c>
      <c r="F72" s="6">
        <v>10</v>
      </c>
      <c r="G72" s="14">
        <f>F72/D72</f>
        <v>1</v>
      </c>
      <c r="H72" s="6">
        <f>F72-E72</f>
        <v>0</v>
      </c>
      <c r="I72" s="6">
        <v>0</v>
      </c>
      <c r="J72" s="6">
        <v>0</v>
      </c>
      <c r="K72" s="6">
        <v>0</v>
      </c>
      <c r="L72" s="6">
        <v>0</v>
      </c>
      <c r="M72" s="6">
        <f>K72-J72</f>
        <v>0</v>
      </c>
      <c r="N72" s="6">
        <v>154</v>
      </c>
      <c r="O72" s="6">
        <v>154</v>
      </c>
      <c r="P72" s="6">
        <v>152</v>
      </c>
      <c r="Q72" s="14">
        <f>P72/N72</f>
        <v>0.98701298701298701</v>
      </c>
      <c r="R72" s="6">
        <f>P72-O72</f>
        <v>-2</v>
      </c>
      <c r="S72" s="6">
        <v>3058</v>
      </c>
      <c r="T72" s="6">
        <v>298</v>
      </c>
      <c r="U72" s="6">
        <v>298</v>
      </c>
      <c r="V72" s="14">
        <f t="shared" si="35"/>
        <v>9.7449313276651406E-2</v>
      </c>
      <c r="W72" s="6">
        <f>U72-T72</f>
        <v>0</v>
      </c>
      <c r="X72" s="2">
        <v>296</v>
      </c>
      <c r="Y72" s="2">
        <v>31</v>
      </c>
      <c r="Z72" s="2">
        <v>31</v>
      </c>
      <c r="AA72" s="25">
        <f t="shared" si="37"/>
        <v>0.10472972972972973</v>
      </c>
      <c r="AB72" s="2">
        <f t="shared" si="38"/>
        <v>0</v>
      </c>
      <c r="AC72" s="2"/>
      <c r="AD72" s="2"/>
      <c r="AE72" s="2"/>
      <c r="AF72" s="25" t="e">
        <f t="shared" si="39"/>
        <v>#DIV/0!</v>
      </c>
      <c r="AG72" s="2">
        <f t="shared" si="40"/>
        <v>0</v>
      </c>
      <c r="AH72" s="2">
        <v>510</v>
      </c>
      <c r="AI72" s="2">
        <v>11</v>
      </c>
      <c r="AJ72" s="2">
        <v>1</v>
      </c>
      <c r="AK72" s="25">
        <f t="shared" si="42"/>
        <v>1.9607843137254902E-3</v>
      </c>
      <c r="AL72" s="2"/>
      <c r="AM72" s="2">
        <v>32172</v>
      </c>
      <c r="AN72" s="2">
        <v>858</v>
      </c>
      <c r="AO72" s="2">
        <v>666</v>
      </c>
      <c r="AP72" s="25">
        <f t="shared" si="43"/>
        <v>2.0701230883998507E-2</v>
      </c>
      <c r="AQ72" s="2"/>
      <c r="AR72" s="2">
        <v>52059</v>
      </c>
      <c r="AS72" s="2">
        <v>1716</v>
      </c>
      <c r="AT72" s="2">
        <v>899</v>
      </c>
      <c r="AU72" s="25">
        <f t="shared" si="44"/>
        <v>1.7268868015136673E-2</v>
      </c>
      <c r="AV72" s="2">
        <f t="shared" si="41"/>
        <v>-817</v>
      </c>
      <c r="AW72" s="2">
        <v>37672</v>
      </c>
      <c r="AX72" s="2">
        <v>1231</v>
      </c>
      <c r="AY72" s="2">
        <v>596</v>
      </c>
      <c r="AZ72" s="25">
        <f t="shared" si="45"/>
        <v>1.5820768740709281E-2</v>
      </c>
      <c r="BA72" s="2"/>
      <c r="BB72" s="2">
        <f t="shared" si="46"/>
        <v>125931</v>
      </c>
      <c r="BC72" s="2">
        <f t="shared" si="47"/>
        <v>4309</v>
      </c>
      <c r="BD72" s="2">
        <f t="shared" si="48"/>
        <v>2653</v>
      </c>
      <c r="BE72" s="25">
        <f t="shared" si="49"/>
        <v>2.1067092296575107E-2</v>
      </c>
      <c r="BF72" s="2"/>
    </row>
    <row r="73" spans="1:58" x14ac:dyDescent="0.35">
      <c r="A73" s="6">
        <v>681443</v>
      </c>
      <c r="B73" s="6" t="s">
        <v>83</v>
      </c>
      <c r="C73" s="6" t="s">
        <v>51</v>
      </c>
      <c r="D73" s="6">
        <v>18</v>
      </c>
      <c r="E73" s="6">
        <v>18</v>
      </c>
      <c r="F73" s="6">
        <v>17</v>
      </c>
      <c r="G73" s="14">
        <f>F73/D73</f>
        <v>0.94444444444444442</v>
      </c>
      <c r="H73" s="6">
        <f>F73-E73</f>
        <v>-1</v>
      </c>
      <c r="I73" s="6">
        <v>1</v>
      </c>
      <c r="J73" s="6">
        <v>1</v>
      </c>
      <c r="K73" s="6">
        <v>1</v>
      </c>
      <c r="L73" s="14">
        <f>K73/I73</f>
        <v>1</v>
      </c>
      <c r="M73" s="6">
        <f>K73-J73</f>
        <v>0</v>
      </c>
      <c r="N73" s="6">
        <v>0</v>
      </c>
      <c r="O73" s="6">
        <v>0</v>
      </c>
      <c r="P73" s="6">
        <v>0</v>
      </c>
      <c r="Q73" s="14" t="e">
        <f>P73/N73</f>
        <v>#DIV/0!</v>
      </c>
      <c r="R73" s="6">
        <f>P73-O73</f>
        <v>0</v>
      </c>
      <c r="S73" s="6">
        <v>0</v>
      </c>
      <c r="T73" s="6">
        <v>0</v>
      </c>
      <c r="U73" s="6">
        <v>0</v>
      </c>
      <c r="V73" s="14" t="e">
        <f t="shared" si="35"/>
        <v>#DIV/0!</v>
      </c>
      <c r="W73" s="6">
        <f>U73-T73</f>
        <v>0</v>
      </c>
      <c r="X73" s="2"/>
      <c r="Y73" s="2"/>
      <c r="Z73" s="2"/>
      <c r="AA73" s="25" t="e">
        <f t="shared" si="37"/>
        <v>#DIV/0!</v>
      </c>
      <c r="AB73" s="2">
        <f t="shared" si="38"/>
        <v>0</v>
      </c>
      <c r="AC73" s="2"/>
      <c r="AD73" s="2"/>
      <c r="AE73" s="2"/>
      <c r="AF73" s="25" t="e">
        <f t="shared" si="39"/>
        <v>#DIV/0!</v>
      </c>
      <c r="AG73" s="2">
        <f t="shared" si="40"/>
        <v>0</v>
      </c>
      <c r="AH73" s="2">
        <v>3</v>
      </c>
      <c r="AI73" s="2">
        <v>3</v>
      </c>
      <c r="AJ73" s="2"/>
      <c r="AK73" s="25">
        <f t="shared" si="42"/>
        <v>0</v>
      </c>
      <c r="AL73" s="2"/>
      <c r="AM73" s="2">
        <v>47792</v>
      </c>
      <c r="AN73" s="2">
        <v>3544</v>
      </c>
      <c r="AO73" s="2">
        <v>3350</v>
      </c>
      <c r="AP73" s="25">
        <f t="shared" si="43"/>
        <v>7.0095413458319378E-2</v>
      </c>
      <c r="AQ73" s="2"/>
      <c r="AR73" s="2">
        <v>47593</v>
      </c>
      <c r="AS73" s="2">
        <v>847</v>
      </c>
      <c r="AT73" s="2">
        <v>583</v>
      </c>
      <c r="AU73" s="25">
        <f t="shared" si="44"/>
        <v>1.2249700586220663E-2</v>
      </c>
      <c r="AV73" s="2">
        <f t="shared" si="41"/>
        <v>-264</v>
      </c>
      <c r="AW73" s="2">
        <v>29214</v>
      </c>
      <c r="AX73" s="2">
        <v>2595</v>
      </c>
      <c r="AY73" s="2">
        <v>571</v>
      </c>
      <c r="AZ73" s="25">
        <f t="shared" si="45"/>
        <v>1.9545423427123981E-2</v>
      </c>
      <c r="BA73" s="2"/>
      <c r="BB73" s="2">
        <f t="shared" si="46"/>
        <v>124621</v>
      </c>
      <c r="BC73" s="2">
        <f t="shared" si="47"/>
        <v>7008</v>
      </c>
      <c r="BD73" s="2">
        <f t="shared" si="48"/>
        <v>4522</v>
      </c>
      <c r="BE73" s="25">
        <f t="shared" si="49"/>
        <v>3.6286019210245463E-2</v>
      </c>
      <c r="BF73" s="2"/>
    </row>
    <row r="74" spans="1:58" x14ac:dyDescent="0.35">
      <c r="A74" s="6">
        <v>487757</v>
      </c>
      <c r="B74" s="6" t="s">
        <v>89</v>
      </c>
      <c r="C74" s="6" t="s">
        <v>51</v>
      </c>
      <c r="D74" s="6">
        <v>13</v>
      </c>
      <c r="E74" s="6">
        <v>13</v>
      </c>
      <c r="F74" s="6">
        <v>3</v>
      </c>
      <c r="G74" s="14">
        <f>F74/D74</f>
        <v>0.23076923076923078</v>
      </c>
      <c r="H74" s="6">
        <f>F74-E74</f>
        <v>-10</v>
      </c>
      <c r="I74" s="6">
        <v>0</v>
      </c>
      <c r="J74" s="6">
        <v>0</v>
      </c>
      <c r="K74" s="6">
        <v>0</v>
      </c>
      <c r="L74" s="6">
        <v>0</v>
      </c>
      <c r="M74" s="6">
        <f>K74-J74</f>
        <v>0</v>
      </c>
      <c r="N74" s="6">
        <v>7</v>
      </c>
      <c r="O74" s="6">
        <v>7</v>
      </c>
      <c r="P74" s="6">
        <v>7</v>
      </c>
      <c r="Q74" s="14">
        <f>P74/N74</f>
        <v>1</v>
      </c>
      <c r="R74" s="6">
        <f>P74-O74</f>
        <v>0</v>
      </c>
      <c r="S74" s="6">
        <v>3968</v>
      </c>
      <c r="T74" s="6">
        <v>38</v>
      </c>
      <c r="U74" s="6">
        <v>35</v>
      </c>
      <c r="V74" s="14">
        <f t="shared" si="35"/>
        <v>8.8205645161290331E-3</v>
      </c>
      <c r="W74" s="6">
        <f>U74-T74</f>
        <v>-3</v>
      </c>
      <c r="X74" s="2">
        <v>16</v>
      </c>
      <c r="Y74" s="2">
        <v>16</v>
      </c>
      <c r="Z74" s="2">
        <v>16</v>
      </c>
      <c r="AA74" s="25">
        <f t="shared" si="37"/>
        <v>1</v>
      </c>
      <c r="AB74" s="2">
        <f t="shared" si="38"/>
        <v>0</v>
      </c>
      <c r="AC74" s="2">
        <v>26</v>
      </c>
      <c r="AD74" s="2">
        <v>26</v>
      </c>
      <c r="AE74" s="2">
        <v>25</v>
      </c>
      <c r="AF74" s="25">
        <f t="shared" si="39"/>
        <v>0.96153846153846156</v>
      </c>
      <c r="AG74" s="2">
        <f t="shared" si="40"/>
        <v>-1</v>
      </c>
      <c r="AH74" s="2"/>
      <c r="AI74" s="2"/>
      <c r="AJ74" s="2"/>
      <c r="AK74" s="25" t="e">
        <f t="shared" si="42"/>
        <v>#DIV/0!</v>
      </c>
      <c r="AL74" s="2"/>
      <c r="AM74" s="2">
        <v>19963</v>
      </c>
      <c r="AN74" s="2">
        <v>92</v>
      </c>
      <c r="AO74" s="2">
        <v>80</v>
      </c>
      <c r="AP74" s="25">
        <f t="shared" si="43"/>
        <v>4.0074137153734406E-3</v>
      </c>
      <c r="AQ74" s="2"/>
      <c r="AR74" s="2">
        <v>38981</v>
      </c>
      <c r="AS74" s="2">
        <v>192</v>
      </c>
      <c r="AT74" s="2">
        <v>139</v>
      </c>
      <c r="AU74" s="25">
        <f t="shared" si="44"/>
        <v>3.5658397680921475E-3</v>
      </c>
      <c r="AV74" s="2">
        <f t="shared" si="41"/>
        <v>-53</v>
      </c>
      <c r="AW74" s="2">
        <v>29417</v>
      </c>
      <c r="AX74" s="2">
        <v>112</v>
      </c>
      <c r="AY74" s="2">
        <v>234</v>
      </c>
      <c r="AZ74" s="25">
        <f t="shared" si="45"/>
        <v>7.9545840840330416E-3</v>
      </c>
      <c r="BA74" s="2"/>
      <c r="BB74" s="2">
        <f t="shared" si="46"/>
        <v>92391</v>
      </c>
      <c r="BC74" s="2">
        <f t="shared" si="47"/>
        <v>496</v>
      </c>
      <c r="BD74" s="2">
        <f t="shared" si="48"/>
        <v>539</v>
      </c>
      <c r="BE74" s="25">
        <f t="shared" si="49"/>
        <v>5.8339015704992909E-3</v>
      </c>
      <c r="BF74" s="2"/>
    </row>
    <row r="75" spans="1:58" x14ac:dyDescent="0.35">
      <c r="A75" s="6">
        <v>359300</v>
      </c>
      <c r="B75" s="6" t="s">
        <v>93</v>
      </c>
      <c r="C75" s="6" t="s">
        <v>51</v>
      </c>
      <c r="D75" s="6">
        <v>20</v>
      </c>
      <c r="E75" s="6">
        <v>20</v>
      </c>
      <c r="F75" s="6">
        <v>1</v>
      </c>
      <c r="G75" s="14">
        <f>F75/D75</f>
        <v>0.05</v>
      </c>
      <c r="H75" s="6">
        <f>F75-E75</f>
        <v>-19</v>
      </c>
      <c r="I75" s="6">
        <v>19</v>
      </c>
      <c r="J75" s="6">
        <v>19</v>
      </c>
      <c r="K75" s="6">
        <v>6</v>
      </c>
      <c r="L75" s="14">
        <f>K75/I75</f>
        <v>0.31578947368421051</v>
      </c>
      <c r="M75" s="6">
        <f>K75-J75</f>
        <v>-13</v>
      </c>
      <c r="N75" s="6">
        <v>2327</v>
      </c>
      <c r="O75" s="6">
        <v>206</v>
      </c>
      <c r="P75" s="6">
        <v>205</v>
      </c>
      <c r="Q75" s="14">
        <f>P75/N75</f>
        <v>8.8096261280618829E-2</v>
      </c>
      <c r="R75" s="6">
        <f>P75-O75</f>
        <v>-1</v>
      </c>
      <c r="S75" s="6">
        <v>3868</v>
      </c>
      <c r="T75" s="6">
        <v>210</v>
      </c>
      <c r="U75" s="6">
        <v>37</v>
      </c>
      <c r="V75" s="14">
        <f t="shared" si="35"/>
        <v>9.5656670113753884E-3</v>
      </c>
      <c r="W75" s="6">
        <f>U75-T75</f>
        <v>-173</v>
      </c>
      <c r="X75" s="2">
        <v>10123</v>
      </c>
      <c r="Y75" s="2">
        <v>647</v>
      </c>
      <c r="Z75" s="2">
        <v>546</v>
      </c>
      <c r="AA75" s="25">
        <f t="shared" si="37"/>
        <v>5.3936580065198067E-2</v>
      </c>
      <c r="AB75" s="2">
        <f t="shared" si="38"/>
        <v>-101</v>
      </c>
      <c r="AC75" s="2">
        <v>11570</v>
      </c>
      <c r="AD75" s="2">
        <v>2266</v>
      </c>
      <c r="AE75" s="2">
        <v>2257</v>
      </c>
      <c r="AF75" s="25">
        <f t="shared" si="39"/>
        <v>0.19507346585998273</v>
      </c>
      <c r="AG75" s="2">
        <f t="shared" si="40"/>
        <v>-9</v>
      </c>
      <c r="AH75" s="2">
        <v>44</v>
      </c>
      <c r="AI75" s="2">
        <v>44</v>
      </c>
      <c r="AJ75" s="2">
        <v>42</v>
      </c>
      <c r="AK75" s="25">
        <f t="shared" si="42"/>
        <v>0.95454545454545459</v>
      </c>
      <c r="AL75" s="2"/>
      <c r="AM75" s="2">
        <v>10636</v>
      </c>
      <c r="AN75" s="2">
        <v>61</v>
      </c>
      <c r="AO75" s="2">
        <v>41</v>
      </c>
      <c r="AP75" s="25">
        <f t="shared" si="43"/>
        <v>3.8548326438510717E-3</v>
      </c>
      <c r="AQ75" s="2"/>
      <c r="AR75" s="2">
        <v>54449</v>
      </c>
      <c r="AS75" s="2">
        <v>1807</v>
      </c>
      <c r="AT75" s="2">
        <v>1360</v>
      </c>
      <c r="AU75" s="25">
        <f t="shared" si="44"/>
        <v>2.4977501882495545E-2</v>
      </c>
      <c r="AV75" s="2">
        <f t="shared" si="41"/>
        <v>-447</v>
      </c>
      <c r="AW75" s="2">
        <v>46136</v>
      </c>
      <c r="AX75" s="2">
        <v>3925</v>
      </c>
      <c r="AY75" s="2">
        <v>2115</v>
      </c>
      <c r="AZ75" s="25">
        <f t="shared" si="45"/>
        <v>4.5842725853996881E-2</v>
      </c>
      <c r="BA75" s="2"/>
      <c r="BB75" s="2">
        <f t="shared" si="46"/>
        <v>139192</v>
      </c>
      <c r="BC75" s="2">
        <f t="shared" si="47"/>
        <v>9205</v>
      </c>
      <c r="BD75" s="2">
        <f t="shared" si="48"/>
        <v>6610</v>
      </c>
      <c r="BE75" s="25">
        <f t="shared" si="49"/>
        <v>4.7488361400080462E-2</v>
      </c>
      <c r="BF75" s="2"/>
    </row>
    <row r="76" spans="1:58" x14ac:dyDescent="0.35">
      <c r="A76" s="2">
        <v>421299</v>
      </c>
      <c r="B76" s="2" t="s">
        <v>150</v>
      </c>
      <c r="C76" s="6" t="s">
        <v>51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5" t="e">
        <f t="shared" si="42"/>
        <v>#DIV/0!</v>
      </c>
      <c r="AL76" s="2"/>
      <c r="AM76" s="2">
        <v>20090</v>
      </c>
      <c r="AN76" s="2">
        <v>66</v>
      </c>
      <c r="AO76" s="2">
        <v>8</v>
      </c>
      <c r="AP76" s="25">
        <f t="shared" si="43"/>
        <v>3.9820806371329017E-4</v>
      </c>
      <c r="AQ76" s="2"/>
      <c r="AR76" s="2">
        <v>53236</v>
      </c>
      <c r="AS76" s="2">
        <v>2074</v>
      </c>
      <c r="AT76" s="2">
        <v>1487</v>
      </c>
      <c r="AU76" s="25">
        <f t="shared" si="44"/>
        <v>2.7932226313021263E-2</v>
      </c>
      <c r="AV76" s="2"/>
      <c r="AW76" s="2">
        <v>30242</v>
      </c>
      <c r="AX76" s="2">
        <v>524</v>
      </c>
      <c r="AY76" s="2">
        <v>105</v>
      </c>
      <c r="AZ76" s="25">
        <f t="shared" si="45"/>
        <v>3.4719925930824683E-3</v>
      </c>
      <c r="BA76" s="2"/>
      <c r="BB76" s="2">
        <f t="shared" si="46"/>
        <v>103568</v>
      </c>
      <c r="BC76" s="2">
        <f t="shared" si="47"/>
        <v>2664</v>
      </c>
      <c r="BD76" s="2">
        <f t="shared" si="48"/>
        <v>1600</v>
      </c>
      <c r="BE76" s="25">
        <f t="shared" si="49"/>
        <v>1.5448787270199289E-2</v>
      </c>
      <c r="BF76" s="2"/>
    </row>
    <row r="77" spans="1:58" x14ac:dyDescent="0.35">
      <c r="A77" s="2">
        <v>426094</v>
      </c>
      <c r="B77" s="2" t="s">
        <v>151</v>
      </c>
      <c r="C77" s="6" t="s">
        <v>51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5" t="e">
        <f t="shared" si="42"/>
        <v>#DIV/0!</v>
      </c>
      <c r="AL77" s="2"/>
      <c r="AM77" s="2">
        <v>3869</v>
      </c>
      <c r="AN77" s="2">
        <v>26</v>
      </c>
      <c r="AO77" s="2"/>
      <c r="AP77" s="25">
        <f t="shared" si="43"/>
        <v>0</v>
      </c>
      <c r="AQ77" s="2"/>
      <c r="AR77" s="2">
        <v>10713</v>
      </c>
      <c r="AS77" s="2">
        <v>7</v>
      </c>
      <c r="AT77" s="2">
        <v>5</v>
      </c>
      <c r="AU77" s="25">
        <f t="shared" si="44"/>
        <v>4.6672267338747315E-4</v>
      </c>
      <c r="AV77" s="2"/>
      <c r="AW77" s="2">
        <v>9783</v>
      </c>
      <c r="AX77" s="2">
        <v>3</v>
      </c>
      <c r="AY77" s="2">
        <v>2</v>
      </c>
      <c r="AZ77" s="25">
        <f t="shared" si="45"/>
        <v>2.044362669937647E-4</v>
      </c>
      <c r="BA77" s="2"/>
      <c r="BB77" s="2">
        <f t="shared" si="46"/>
        <v>24365</v>
      </c>
      <c r="BC77" s="2">
        <f t="shared" si="47"/>
        <v>36</v>
      </c>
      <c r="BD77" s="2">
        <f t="shared" si="48"/>
        <v>7</v>
      </c>
      <c r="BE77" s="25">
        <f t="shared" si="49"/>
        <v>2.8729735276010671E-4</v>
      </c>
      <c r="BF77" s="2"/>
    </row>
    <row r="78" spans="1:58" x14ac:dyDescent="0.35">
      <c r="A78" s="2">
        <v>441156</v>
      </c>
      <c r="B78" s="2" t="s">
        <v>152</v>
      </c>
      <c r="C78" s="6" t="s">
        <v>51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5" t="e">
        <f t="shared" si="42"/>
        <v>#DIV/0!</v>
      </c>
      <c r="AL78" s="2"/>
      <c r="AM78" s="2">
        <v>2202</v>
      </c>
      <c r="AN78" s="2">
        <v>0</v>
      </c>
      <c r="AO78" s="2"/>
      <c r="AP78" s="25">
        <f t="shared" si="43"/>
        <v>0</v>
      </c>
      <c r="AQ78" s="2"/>
      <c r="AR78" s="2">
        <v>2891</v>
      </c>
      <c r="AS78" s="2">
        <v>0</v>
      </c>
      <c r="AT78" s="2"/>
      <c r="AU78" s="25">
        <f t="shared" si="44"/>
        <v>0</v>
      </c>
      <c r="AV78" s="2"/>
      <c r="AW78" s="2">
        <v>3694</v>
      </c>
      <c r="AX78" s="2">
        <v>0</v>
      </c>
      <c r="AY78" s="2"/>
      <c r="AZ78" s="25">
        <f t="shared" si="45"/>
        <v>0</v>
      </c>
      <c r="BA78" s="2"/>
      <c r="BB78" s="2">
        <f t="shared" si="46"/>
        <v>8787</v>
      </c>
      <c r="BC78" s="2">
        <f t="shared" si="47"/>
        <v>0</v>
      </c>
      <c r="BD78" s="2">
        <f t="shared" si="48"/>
        <v>0</v>
      </c>
      <c r="BE78" s="25">
        <f t="shared" si="49"/>
        <v>0</v>
      </c>
      <c r="BF78" s="2"/>
    </row>
    <row r="79" spans="1:58" x14ac:dyDescent="0.35">
      <c r="A79" s="2">
        <v>587469</v>
      </c>
      <c r="B79" s="2" t="s">
        <v>153</v>
      </c>
      <c r="C79" s="6" t="s">
        <v>51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5" t="e">
        <f t="shared" si="42"/>
        <v>#DIV/0!</v>
      </c>
      <c r="AL79" s="2"/>
      <c r="AM79" s="2">
        <v>17146</v>
      </c>
      <c r="AN79" s="2">
        <v>62</v>
      </c>
      <c r="AO79" s="2">
        <v>8</v>
      </c>
      <c r="AP79" s="25">
        <f t="shared" si="43"/>
        <v>4.6658112679342123E-4</v>
      </c>
      <c r="AQ79" s="2"/>
      <c r="AR79" s="2">
        <v>67994</v>
      </c>
      <c r="AS79" s="2">
        <v>1957</v>
      </c>
      <c r="AT79" s="2">
        <v>776</v>
      </c>
      <c r="AU79" s="25">
        <f t="shared" si="44"/>
        <v>1.1412771715151336E-2</v>
      </c>
      <c r="AV79" s="2"/>
      <c r="AW79" s="2">
        <v>71347</v>
      </c>
      <c r="AX79" s="2">
        <v>5004</v>
      </c>
      <c r="AY79" s="2">
        <v>2853</v>
      </c>
      <c r="AZ79" s="25">
        <f t="shared" si="45"/>
        <v>3.9987665914474328E-2</v>
      </c>
      <c r="BA79" s="2"/>
      <c r="BB79" s="2">
        <f t="shared" si="46"/>
        <v>156487</v>
      </c>
      <c r="BC79" s="2">
        <f t="shared" si="47"/>
        <v>7023</v>
      </c>
      <c r="BD79" s="2">
        <f t="shared" si="48"/>
        <v>3637</v>
      </c>
      <c r="BE79" s="25">
        <f t="shared" si="49"/>
        <v>2.3241547221174923E-2</v>
      </c>
      <c r="BF79" s="2"/>
    </row>
    <row r="80" spans="1:58" x14ac:dyDescent="0.35">
      <c r="A80" s="2">
        <v>681442</v>
      </c>
      <c r="B80" s="2" t="s">
        <v>154</v>
      </c>
      <c r="C80" s="6" t="s">
        <v>51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5" t="e">
        <f t="shared" si="42"/>
        <v>#DIV/0!</v>
      </c>
      <c r="AL80" s="2"/>
      <c r="AM80" s="2">
        <v>9776</v>
      </c>
      <c r="AN80" s="2">
        <v>351</v>
      </c>
      <c r="AO80" s="2">
        <v>148</v>
      </c>
      <c r="AP80" s="25">
        <f t="shared" si="43"/>
        <v>1.5139116202945991E-2</v>
      </c>
      <c r="AQ80" s="2"/>
      <c r="AR80" s="2">
        <v>58250</v>
      </c>
      <c r="AS80" s="2">
        <v>2547</v>
      </c>
      <c r="AT80" s="2">
        <v>1296</v>
      </c>
      <c r="AU80" s="25">
        <f t="shared" si="44"/>
        <v>2.2248927038626611E-2</v>
      </c>
      <c r="AV80" s="2"/>
      <c r="AW80" s="2">
        <v>28918</v>
      </c>
      <c r="AX80" s="2">
        <v>989</v>
      </c>
      <c r="AY80" s="2">
        <v>490</v>
      </c>
      <c r="AZ80" s="25">
        <f t="shared" si="45"/>
        <v>1.6944463655854485E-2</v>
      </c>
      <c r="BA80" s="2"/>
      <c r="BB80" s="2">
        <f t="shared" si="46"/>
        <v>96944</v>
      </c>
      <c r="BC80" s="2">
        <f t="shared" si="47"/>
        <v>3887</v>
      </c>
      <c r="BD80" s="2">
        <f t="shared" si="48"/>
        <v>1934</v>
      </c>
      <c r="BE80" s="25">
        <f t="shared" si="49"/>
        <v>1.9949661660339991E-2</v>
      </c>
      <c r="BF80" s="2"/>
    </row>
    <row r="81" spans="1:58" x14ac:dyDescent="0.35">
      <c r="A81" s="2">
        <v>235903</v>
      </c>
      <c r="B81" s="2" t="s">
        <v>155</v>
      </c>
      <c r="C81" s="6" t="s">
        <v>51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>
        <v>1</v>
      </c>
      <c r="AI81" s="2">
        <v>0</v>
      </c>
      <c r="AJ81" s="2"/>
      <c r="AK81" s="25">
        <f t="shared" si="42"/>
        <v>0</v>
      </c>
      <c r="AL81" s="2"/>
      <c r="AM81" s="2">
        <v>21868</v>
      </c>
      <c r="AN81" s="2">
        <v>2005</v>
      </c>
      <c r="AO81" s="2">
        <v>1956</v>
      </c>
      <c r="AP81" s="25">
        <f t="shared" si="43"/>
        <v>8.9445765502103536E-2</v>
      </c>
      <c r="AQ81" s="2"/>
      <c r="AR81" s="2">
        <v>54595</v>
      </c>
      <c r="AS81" s="2">
        <v>2952</v>
      </c>
      <c r="AT81" s="2">
        <v>1553</v>
      </c>
      <c r="AU81" s="25">
        <f t="shared" si="44"/>
        <v>2.8445828372561589E-2</v>
      </c>
      <c r="AV81" s="2"/>
      <c r="AW81" s="2">
        <v>17074</v>
      </c>
      <c r="AX81" s="2">
        <v>227</v>
      </c>
      <c r="AY81" s="2">
        <v>208</v>
      </c>
      <c r="AZ81" s="25">
        <f t="shared" si="45"/>
        <v>1.2182265432821835E-2</v>
      </c>
      <c r="BA81" s="2"/>
      <c r="BB81" s="2">
        <f t="shared" si="46"/>
        <v>93538</v>
      </c>
      <c r="BC81" s="2">
        <f t="shared" si="47"/>
        <v>5184</v>
      </c>
      <c r="BD81" s="2">
        <f t="shared" si="48"/>
        <v>3717</v>
      </c>
      <c r="BE81" s="25">
        <f t="shared" si="49"/>
        <v>3.9737860548654025E-2</v>
      </c>
      <c r="BF81" s="2"/>
    </row>
    <row r="82" spans="1:58" x14ac:dyDescent="0.35">
      <c r="A82" s="2">
        <v>402936</v>
      </c>
      <c r="B82" s="2" t="s">
        <v>156</v>
      </c>
      <c r="C82" s="6" t="s">
        <v>51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5" t="e">
        <f t="shared" si="42"/>
        <v>#DIV/0!</v>
      </c>
      <c r="AL82" s="2"/>
      <c r="AM82" s="2">
        <v>23871</v>
      </c>
      <c r="AN82" s="2">
        <v>511</v>
      </c>
      <c r="AO82" s="2">
        <v>360</v>
      </c>
      <c r="AP82" s="25">
        <f t="shared" si="43"/>
        <v>1.5081060701269322E-2</v>
      </c>
      <c r="AQ82" s="2"/>
      <c r="AR82" s="2">
        <v>53750</v>
      </c>
      <c r="AS82" s="2">
        <v>2396</v>
      </c>
      <c r="AT82" s="2">
        <v>1765</v>
      </c>
      <c r="AU82" s="25">
        <f t="shared" si="44"/>
        <v>3.283720930232558E-2</v>
      </c>
      <c r="AV82" s="2"/>
      <c r="AW82" s="2">
        <v>45450</v>
      </c>
      <c r="AX82" s="2">
        <v>2406</v>
      </c>
      <c r="AY82" s="2">
        <v>1670</v>
      </c>
      <c r="AZ82" s="25">
        <f t="shared" si="45"/>
        <v>3.6743674367436745E-2</v>
      </c>
      <c r="BA82" s="2"/>
      <c r="BB82" s="2">
        <f t="shared" si="46"/>
        <v>123071</v>
      </c>
      <c r="BC82" s="2">
        <f t="shared" si="47"/>
        <v>5313</v>
      </c>
      <c r="BD82" s="2">
        <f t="shared" si="48"/>
        <v>3795</v>
      </c>
      <c r="BE82" s="25">
        <f t="shared" si="49"/>
        <v>3.0835858975713205E-2</v>
      </c>
      <c r="BF82" s="2"/>
    </row>
    <row r="83" spans="1:58" x14ac:dyDescent="0.35">
      <c r="A83" s="2">
        <v>340117</v>
      </c>
      <c r="B83" s="2" t="s">
        <v>157</v>
      </c>
      <c r="C83" s="6" t="s">
        <v>51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5" t="e">
        <f t="shared" si="42"/>
        <v>#DIV/0!</v>
      </c>
      <c r="AL83" s="2"/>
      <c r="AM83" s="2">
        <v>20577</v>
      </c>
      <c r="AN83" s="2">
        <v>6</v>
      </c>
      <c r="AO83" s="2">
        <v>6</v>
      </c>
      <c r="AP83" s="25">
        <f t="shared" si="43"/>
        <v>2.9158769499927102E-4</v>
      </c>
      <c r="AQ83" s="2"/>
      <c r="AR83" s="2">
        <v>48548</v>
      </c>
      <c r="AS83" s="2">
        <v>254</v>
      </c>
      <c r="AT83" s="2">
        <v>114</v>
      </c>
      <c r="AU83" s="25">
        <f t="shared" si="44"/>
        <v>2.348191480596523E-3</v>
      </c>
      <c r="AV83" s="2"/>
      <c r="AW83" s="2">
        <v>29066</v>
      </c>
      <c r="AX83" s="2">
        <v>443</v>
      </c>
      <c r="AY83" s="2">
        <v>460</v>
      </c>
      <c r="AZ83" s="25">
        <f t="shared" si="45"/>
        <v>1.5826051056216886E-2</v>
      </c>
      <c r="BA83" s="2"/>
      <c r="BB83" s="2">
        <f t="shared" si="46"/>
        <v>98191</v>
      </c>
      <c r="BC83" s="2">
        <f t="shared" si="47"/>
        <v>703</v>
      </c>
      <c r="BD83" s="2">
        <f t="shared" si="48"/>
        <v>580</v>
      </c>
      <c r="BE83" s="25">
        <f t="shared" si="49"/>
        <v>5.9068550070780421E-3</v>
      </c>
      <c r="BF83" s="2"/>
    </row>
    <row r="84" spans="1:58" x14ac:dyDescent="0.35">
      <c r="A84" s="2">
        <v>617190</v>
      </c>
      <c r="B84" s="2" t="s">
        <v>158</v>
      </c>
      <c r="C84" s="6" t="s">
        <v>51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5" t="e">
        <f t="shared" si="42"/>
        <v>#DIV/0!</v>
      </c>
      <c r="AL84" s="2"/>
      <c r="AM84" s="2">
        <v>3426</v>
      </c>
      <c r="AN84" s="2">
        <v>4</v>
      </c>
      <c r="AO84" s="2">
        <v>4</v>
      </c>
      <c r="AP84" s="25">
        <f t="shared" si="43"/>
        <v>1.1675423234092236E-3</v>
      </c>
      <c r="AQ84" s="2"/>
      <c r="AR84" s="2">
        <v>28805</v>
      </c>
      <c r="AS84" s="2">
        <v>13</v>
      </c>
      <c r="AT84" s="2">
        <v>5</v>
      </c>
      <c r="AU84" s="25">
        <f t="shared" si="44"/>
        <v>1.7358097552508245E-4</v>
      </c>
      <c r="AV84" s="2"/>
      <c r="AW84" s="2">
        <v>28579</v>
      </c>
      <c r="AX84" s="2">
        <v>81</v>
      </c>
      <c r="AY84" s="2">
        <v>12</v>
      </c>
      <c r="AZ84" s="25">
        <f t="shared" si="45"/>
        <v>4.1988872948668605E-4</v>
      </c>
      <c r="BA84" s="2"/>
      <c r="BB84" s="2">
        <f t="shared" si="46"/>
        <v>60810</v>
      </c>
      <c r="BC84" s="2">
        <f t="shared" si="47"/>
        <v>98</v>
      </c>
      <c r="BD84" s="2">
        <f t="shared" si="48"/>
        <v>21</v>
      </c>
      <c r="BE84" s="25">
        <f t="shared" si="49"/>
        <v>3.4533793783917121E-4</v>
      </c>
      <c r="BF84" s="2"/>
    </row>
    <row r="85" spans="1:58" x14ac:dyDescent="0.35">
      <c r="A85" s="2">
        <v>688751</v>
      </c>
      <c r="B85" s="2" t="s">
        <v>159</v>
      </c>
      <c r="C85" s="6" t="s">
        <v>51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5" t="e">
        <f t="shared" si="42"/>
        <v>#DIV/0!</v>
      </c>
      <c r="AL85" s="2"/>
      <c r="AM85" s="2">
        <v>8730</v>
      </c>
      <c r="AN85" s="2">
        <v>0</v>
      </c>
      <c r="AO85" s="2"/>
      <c r="AP85" s="25">
        <f t="shared" si="43"/>
        <v>0</v>
      </c>
      <c r="AQ85" s="2"/>
      <c r="AR85" s="2">
        <v>21854</v>
      </c>
      <c r="AS85" s="2">
        <v>202</v>
      </c>
      <c r="AT85" s="2">
        <v>162</v>
      </c>
      <c r="AU85" s="25">
        <f t="shared" si="44"/>
        <v>7.4128306030932555E-3</v>
      </c>
      <c r="AV85" s="2"/>
      <c r="AW85" s="2">
        <v>12476</v>
      </c>
      <c r="AX85" s="2">
        <v>70</v>
      </c>
      <c r="AY85" s="2">
        <v>55</v>
      </c>
      <c r="AZ85" s="25">
        <f t="shared" si="45"/>
        <v>4.4084642513626164E-3</v>
      </c>
      <c r="BA85" s="2"/>
      <c r="BB85" s="2">
        <f t="shared" si="46"/>
        <v>43060</v>
      </c>
      <c r="BC85" s="2">
        <f t="shared" si="47"/>
        <v>272</v>
      </c>
      <c r="BD85" s="2">
        <f t="shared" si="48"/>
        <v>217</v>
      </c>
      <c r="BE85" s="25">
        <f t="shared" si="49"/>
        <v>5.0394797956339991E-3</v>
      </c>
      <c r="BF85" s="2"/>
    </row>
    <row r="86" spans="1:58" x14ac:dyDescent="0.35">
      <c r="A86" s="2">
        <v>403933</v>
      </c>
      <c r="B86" s="2" t="s">
        <v>160</v>
      </c>
      <c r="C86" s="6" t="s">
        <v>51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5" t="e">
        <f t="shared" si="42"/>
        <v>#DIV/0!</v>
      </c>
      <c r="AL86" s="2"/>
      <c r="AM86" s="2">
        <v>39069</v>
      </c>
      <c r="AN86" s="2">
        <v>13261</v>
      </c>
      <c r="AO86" s="2">
        <v>11596</v>
      </c>
      <c r="AP86" s="25">
        <f t="shared" si="43"/>
        <v>0.29680821111367067</v>
      </c>
      <c r="AQ86" s="2"/>
      <c r="AR86" s="2">
        <v>76827</v>
      </c>
      <c r="AS86" s="2">
        <v>2119</v>
      </c>
      <c r="AT86" s="2">
        <v>376</v>
      </c>
      <c r="AU86" s="25">
        <f t="shared" si="44"/>
        <v>4.8941127468207788E-3</v>
      </c>
      <c r="AV86" s="2"/>
      <c r="AW86" s="2">
        <v>43830</v>
      </c>
      <c r="AX86" s="2">
        <v>18033</v>
      </c>
      <c r="AY86" s="2">
        <v>13140</v>
      </c>
      <c r="AZ86" s="25">
        <f t="shared" si="45"/>
        <v>0.29979466119096509</v>
      </c>
      <c r="BA86" s="2"/>
      <c r="BB86" s="2">
        <f t="shared" si="46"/>
        <v>159726</v>
      </c>
      <c r="BC86" s="2">
        <f t="shared" si="47"/>
        <v>33413</v>
      </c>
      <c r="BD86" s="2">
        <f t="shared" si="48"/>
        <v>25112</v>
      </c>
      <c r="BE86" s="25">
        <f t="shared" si="49"/>
        <v>0.15721923794498077</v>
      </c>
      <c r="BF86" s="2"/>
    </row>
    <row r="87" spans="1:58" x14ac:dyDescent="0.35">
      <c r="A87" s="2">
        <v>410641</v>
      </c>
      <c r="B87" s="2" t="s">
        <v>161</v>
      </c>
      <c r="C87" s="6" t="s">
        <v>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5" t="e">
        <f t="shared" si="42"/>
        <v>#DIV/0!</v>
      </c>
      <c r="AL87" s="2"/>
      <c r="AM87" s="2">
        <v>17508</v>
      </c>
      <c r="AN87" s="2">
        <v>88</v>
      </c>
      <c r="AO87" s="2">
        <v>61</v>
      </c>
      <c r="AP87" s="25">
        <f t="shared" si="43"/>
        <v>3.4841215444368287E-3</v>
      </c>
      <c r="AQ87" s="2"/>
      <c r="AR87" s="2">
        <v>48677</v>
      </c>
      <c r="AS87" s="2">
        <v>2072</v>
      </c>
      <c r="AT87" s="2">
        <v>1701</v>
      </c>
      <c r="AU87" s="25">
        <f t="shared" si="44"/>
        <v>3.4944635043244243E-2</v>
      </c>
      <c r="AV87" s="2"/>
      <c r="AW87" s="2">
        <v>43494</v>
      </c>
      <c r="AX87" s="2">
        <v>1276</v>
      </c>
      <c r="AY87" s="2">
        <v>443</v>
      </c>
      <c r="AZ87" s="25">
        <f t="shared" si="45"/>
        <v>1.0185312916724146E-2</v>
      </c>
      <c r="BA87" s="2"/>
      <c r="BB87" s="2">
        <f t="shared" si="46"/>
        <v>109679</v>
      </c>
      <c r="BC87" s="2">
        <f t="shared" si="47"/>
        <v>3436</v>
      </c>
      <c r="BD87" s="2">
        <f t="shared" si="48"/>
        <v>2205</v>
      </c>
      <c r="BE87" s="25">
        <f t="shared" si="49"/>
        <v>2.0104122028829583E-2</v>
      </c>
      <c r="BF87" s="2"/>
    </row>
    <row r="88" spans="1:58" x14ac:dyDescent="0.35">
      <c r="A88" s="2">
        <v>405029</v>
      </c>
      <c r="B88" s="2" t="s">
        <v>162</v>
      </c>
      <c r="C88" s="6" t="s">
        <v>51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5" t="e">
        <f t="shared" si="42"/>
        <v>#DIV/0!</v>
      </c>
      <c r="AL88" s="2"/>
      <c r="AM88" s="2">
        <v>20858</v>
      </c>
      <c r="AN88" s="2">
        <v>1648</v>
      </c>
      <c r="AO88" s="2">
        <v>1376</v>
      </c>
      <c r="AP88" s="25">
        <f t="shared" si="43"/>
        <v>6.5969891648288426E-2</v>
      </c>
      <c r="AQ88" s="2"/>
      <c r="AR88" s="2">
        <v>30562</v>
      </c>
      <c r="AS88" s="2">
        <v>1087</v>
      </c>
      <c r="AT88" s="2">
        <v>457</v>
      </c>
      <c r="AU88" s="25">
        <f t="shared" si="44"/>
        <v>1.4953209868464106E-2</v>
      </c>
      <c r="AV88" s="2"/>
      <c r="AW88" s="2">
        <v>22839</v>
      </c>
      <c r="AX88" s="2">
        <v>1537</v>
      </c>
      <c r="AY88" s="2">
        <v>1315</v>
      </c>
      <c r="AZ88" s="25">
        <f t="shared" si="45"/>
        <v>5.7576951705416171E-2</v>
      </c>
      <c r="BA88" s="2"/>
      <c r="BB88" s="2">
        <f t="shared" si="46"/>
        <v>74259</v>
      </c>
      <c r="BC88" s="2">
        <f t="shared" si="47"/>
        <v>4272</v>
      </c>
      <c r="BD88" s="2">
        <f t="shared" si="48"/>
        <v>3148</v>
      </c>
      <c r="BE88" s="25">
        <f t="shared" si="49"/>
        <v>4.2392167952706068E-2</v>
      </c>
      <c r="BF88" s="2"/>
    </row>
    <row r="89" spans="1:58" x14ac:dyDescent="0.35">
      <c r="A89" s="2">
        <v>615240</v>
      </c>
      <c r="B89" s="2" t="s">
        <v>163</v>
      </c>
      <c r="C89" s="6" t="s">
        <v>51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5" t="e">
        <f t="shared" si="42"/>
        <v>#DIV/0!</v>
      </c>
      <c r="AL89" s="2"/>
      <c r="AM89" s="2">
        <v>25021</v>
      </c>
      <c r="AN89" s="2">
        <v>26</v>
      </c>
      <c r="AO89" s="2">
        <v>26</v>
      </c>
      <c r="AP89" s="25">
        <f t="shared" si="43"/>
        <v>1.0391271332081053E-3</v>
      </c>
      <c r="AQ89" s="2"/>
      <c r="AR89" s="2">
        <v>30064</v>
      </c>
      <c r="AS89" s="2">
        <v>5</v>
      </c>
      <c r="AT89" s="2">
        <v>5</v>
      </c>
      <c r="AU89" s="25">
        <f t="shared" si="44"/>
        <v>1.6631186801490153E-4</v>
      </c>
      <c r="AV89" s="2"/>
      <c r="AW89" s="2">
        <v>14301</v>
      </c>
      <c r="AX89" s="2">
        <v>0</v>
      </c>
      <c r="AY89" s="2">
        <v>2</v>
      </c>
      <c r="AZ89" s="25">
        <f t="shared" si="45"/>
        <v>1.3985036011467729E-4</v>
      </c>
      <c r="BA89" s="2"/>
      <c r="BB89" s="2">
        <f t="shared" si="46"/>
        <v>69386</v>
      </c>
      <c r="BC89" s="2">
        <f t="shared" si="47"/>
        <v>31</v>
      </c>
      <c r="BD89" s="2">
        <f t="shared" si="48"/>
        <v>33</v>
      </c>
      <c r="BE89" s="25">
        <f t="shared" si="49"/>
        <v>4.7560026518317816E-4</v>
      </c>
      <c r="BF89" s="2"/>
    </row>
    <row r="90" spans="1:58" x14ac:dyDescent="0.35">
      <c r="A90" s="2">
        <v>471725</v>
      </c>
      <c r="B90" s="2" t="s">
        <v>164</v>
      </c>
      <c r="C90" s="6" t="s">
        <v>51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5" t="e">
        <f t="shared" si="42"/>
        <v>#DIV/0!</v>
      </c>
      <c r="AL90" s="2"/>
      <c r="AM90" s="2">
        <v>17311</v>
      </c>
      <c r="AN90" s="2">
        <v>69</v>
      </c>
      <c r="AO90" s="2">
        <v>18</v>
      </c>
      <c r="AP90" s="25">
        <f t="shared" si="43"/>
        <v>1.0398012824215817E-3</v>
      </c>
      <c r="AQ90" s="2"/>
      <c r="AR90" s="2">
        <v>65322</v>
      </c>
      <c r="AS90" s="2">
        <v>20696</v>
      </c>
      <c r="AT90" s="2">
        <v>10601</v>
      </c>
      <c r="AU90" s="25">
        <f t="shared" si="44"/>
        <v>0.16228835614341264</v>
      </c>
      <c r="AV90" s="2"/>
      <c r="AW90" s="2">
        <v>43075</v>
      </c>
      <c r="AX90" s="2">
        <v>18038</v>
      </c>
      <c r="AY90" s="2">
        <v>15436</v>
      </c>
      <c r="AZ90" s="25">
        <f t="shared" si="45"/>
        <v>0.35835171213000583</v>
      </c>
      <c r="BA90" s="2"/>
      <c r="BB90" s="2">
        <f t="shared" si="46"/>
        <v>125708</v>
      </c>
      <c r="BC90" s="2">
        <f t="shared" si="47"/>
        <v>38803</v>
      </c>
      <c r="BD90" s="2">
        <f t="shared" si="48"/>
        <v>26055</v>
      </c>
      <c r="BE90" s="25">
        <f t="shared" si="49"/>
        <v>0.20726604512043784</v>
      </c>
      <c r="BF90" s="2"/>
    </row>
    <row r="91" spans="1:58" x14ac:dyDescent="0.35">
      <c r="A91" s="2">
        <v>457779</v>
      </c>
      <c r="B91" s="2" t="s">
        <v>165</v>
      </c>
      <c r="C91" s="6" t="s">
        <v>51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5" t="e">
        <f t="shared" si="42"/>
        <v>#DIV/0!</v>
      </c>
      <c r="AL91" s="2"/>
      <c r="AM91" s="2"/>
      <c r="AN91" s="2"/>
      <c r="AO91" s="2"/>
      <c r="AP91" s="25" t="e">
        <f t="shared" si="43"/>
        <v>#DIV/0!</v>
      </c>
      <c r="AQ91" s="2"/>
      <c r="AR91" s="2">
        <v>47971</v>
      </c>
      <c r="AS91" s="2">
        <v>1948</v>
      </c>
      <c r="AT91" s="2">
        <v>1298</v>
      </c>
      <c r="AU91" s="25">
        <f t="shared" si="44"/>
        <v>2.7058014216922725E-2</v>
      </c>
      <c r="AV91" s="2"/>
      <c r="AW91" s="2">
        <v>19878</v>
      </c>
      <c r="AX91" s="2">
        <v>353</v>
      </c>
      <c r="AY91" s="2">
        <v>376</v>
      </c>
      <c r="AZ91" s="25">
        <f t="shared" si="45"/>
        <v>1.891538384143274E-2</v>
      </c>
      <c r="BA91" s="2"/>
      <c r="BB91" s="2">
        <f t="shared" si="46"/>
        <v>67849</v>
      </c>
      <c r="BC91" s="2">
        <f t="shared" si="47"/>
        <v>2301</v>
      </c>
      <c r="BD91" s="2">
        <f t="shared" si="48"/>
        <v>1674</v>
      </c>
      <c r="BE91" s="25">
        <f t="shared" si="49"/>
        <v>2.4672434376335685E-2</v>
      </c>
      <c r="BF91" s="2"/>
    </row>
    <row r="92" spans="1:58" x14ac:dyDescent="0.35">
      <c r="A92" s="6">
        <v>373933</v>
      </c>
      <c r="B92" s="6" t="s">
        <v>17</v>
      </c>
      <c r="C92" s="6" t="s">
        <v>122</v>
      </c>
      <c r="D92" s="6">
        <v>51</v>
      </c>
      <c r="E92" s="6">
        <v>23</v>
      </c>
      <c r="F92" s="6">
        <v>18</v>
      </c>
      <c r="G92" s="14">
        <f t="shared" ref="G92:G113" si="50">F92/D92</f>
        <v>0.35294117647058826</v>
      </c>
      <c r="H92" s="6">
        <f t="shared" ref="H92:H118" si="51">F92-E92</f>
        <v>-5</v>
      </c>
      <c r="I92" s="6">
        <v>13</v>
      </c>
      <c r="J92" s="6">
        <v>7</v>
      </c>
      <c r="K92" s="6">
        <v>7</v>
      </c>
      <c r="L92" s="14">
        <f t="shared" ref="L92:L100" si="52">K92/I92</f>
        <v>0.53846153846153844</v>
      </c>
      <c r="M92" s="6">
        <f t="shared" ref="M92:M118" si="53">K92-J92</f>
        <v>0</v>
      </c>
      <c r="N92" s="6">
        <v>7</v>
      </c>
      <c r="O92" s="6">
        <v>4</v>
      </c>
      <c r="P92" s="6">
        <v>2</v>
      </c>
      <c r="Q92" s="14">
        <f t="shared" ref="Q92:Q120" si="54">P92/N92</f>
        <v>0.2857142857142857</v>
      </c>
      <c r="R92" s="6">
        <f t="shared" ref="R92:R120" si="55">P92-O92</f>
        <v>-2</v>
      </c>
      <c r="S92" s="6">
        <v>18</v>
      </c>
      <c r="T92" s="6">
        <v>0</v>
      </c>
      <c r="U92" s="6">
        <v>2</v>
      </c>
      <c r="V92" s="14">
        <f t="shared" ref="V92:V126" si="56">U92/S92</f>
        <v>0.1111111111111111</v>
      </c>
      <c r="W92" s="6">
        <f t="shared" ref="W92:W126" si="57">U92-T92</f>
        <v>2</v>
      </c>
      <c r="X92" s="2"/>
      <c r="Y92" s="2"/>
      <c r="Z92" s="2"/>
      <c r="AA92" s="25" t="e">
        <f t="shared" ref="AA92:AA126" si="58">Z92/X92</f>
        <v>#DIV/0!</v>
      </c>
      <c r="AB92" s="2">
        <f t="shared" ref="AB92:AB126" si="59">Z92-Y92</f>
        <v>0</v>
      </c>
      <c r="AC92" s="2"/>
      <c r="AD92" s="2"/>
      <c r="AE92" s="2"/>
      <c r="AF92" s="25" t="e">
        <f t="shared" ref="AF92:AF126" si="60">AE92/AC92</f>
        <v>#DIV/0!</v>
      </c>
      <c r="AG92" s="2">
        <f t="shared" ref="AG92:AG126" si="61">AE92-AD92</f>
        <v>0</v>
      </c>
      <c r="AH92" s="2">
        <v>5814</v>
      </c>
      <c r="AI92" s="2">
        <v>44</v>
      </c>
      <c r="AJ92" s="2">
        <v>93</v>
      </c>
      <c r="AK92" s="25">
        <f t="shared" si="42"/>
        <v>1.5995872033023734E-2</v>
      </c>
      <c r="AL92" s="2"/>
      <c r="AM92" s="2">
        <v>24486</v>
      </c>
      <c r="AN92" s="2">
        <v>342</v>
      </c>
      <c r="AO92" s="2">
        <v>188</v>
      </c>
      <c r="AP92" s="25">
        <f t="shared" si="43"/>
        <v>7.6778567344605083E-3</v>
      </c>
      <c r="AQ92" s="2"/>
      <c r="AR92" s="2"/>
      <c r="AS92" s="2"/>
      <c r="AT92" s="2"/>
      <c r="AU92" s="25" t="e">
        <f t="shared" si="44"/>
        <v>#DIV/0!</v>
      </c>
      <c r="AV92" s="2">
        <f t="shared" ref="AV92:AV125" si="62">AT92-AS92</f>
        <v>0</v>
      </c>
      <c r="AW92" s="2"/>
      <c r="AX92" s="2"/>
      <c r="AY92" s="2"/>
      <c r="AZ92" s="25" t="e">
        <f t="shared" si="45"/>
        <v>#DIV/0!</v>
      </c>
      <c r="BA92" s="2"/>
      <c r="BB92" s="2">
        <f t="shared" si="46"/>
        <v>30389</v>
      </c>
      <c r="BC92" s="2">
        <f t="shared" si="47"/>
        <v>420</v>
      </c>
      <c r="BD92" s="2">
        <f t="shared" si="48"/>
        <v>310</v>
      </c>
      <c r="BE92" s="25">
        <f t="shared" si="49"/>
        <v>1.0201059593932015E-2</v>
      </c>
      <c r="BF92" s="2"/>
    </row>
    <row r="93" spans="1:58" x14ac:dyDescent="0.35">
      <c r="A93" s="6">
        <v>338729</v>
      </c>
      <c r="B93" s="6" t="s">
        <v>18</v>
      </c>
      <c r="C93" s="6" t="s">
        <v>122</v>
      </c>
      <c r="D93" s="6">
        <v>762</v>
      </c>
      <c r="E93" s="6">
        <v>412</v>
      </c>
      <c r="F93" s="6">
        <v>232</v>
      </c>
      <c r="G93" s="14">
        <f t="shared" si="50"/>
        <v>0.30446194225721784</v>
      </c>
      <c r="H93" s="6">
        <f t="shared" si="51"/>
        <v>-180</v>
      </c>
      <c r="I93" s="6">
        <v>2485</v>
      </c>
      <c r="J93" s="6">
        <v>192</v>
      </c>
      <c r="K93" s="6">
        <v>85</v>
      </c>
      <c r="L93" s="14">
        <f t="shared" si="52"/>
        <v>3.4205231388329982E-2</v>
      </c>
      <c r="M93" s="6">
        <f t="shared" si="53"/>
        <v>-107</v>
      </c>
      <c r="N93" s="6">
        <v>32</v>
      </c>
      <c r="O93" s="6">
        <v>11</v>
      </c>
      <c r="P93" s="6">
        <v>21</v>
      </c>
      <c r="Q93" s="14">
        <f t="shared" si="54"/>
        <v>0.65625</v>
      </c>
      <c r="R93" s="6">
        <f t="shared" si="55"/>
        <v>10</v>
      </c>
      <c r="S93" s="6">
        <v>15</v>
      </c>
      <c r="T93" s="6">
        <v>5</v>
      </c>
      <c r="U93" s="6">
        <v>2</v>
      </c>
      <c r="V93" s="14">
        <f t="shared" si="56"/>
        <v>0.13333333333333333</v>
      </c>
      <c r="W93" s="6">
        <f t="shared" si="57"/>
        <v>-3</v>
      </c>
      <c r="X93" s="2"/>
      <c r="Y93" s="2"/>
      <c r="Z93" s="2"/>
      <c r="AA93" s="25" t="e">
        <f t="shared" si="58"/>
        <v>#DIV/0!</v>
      </c>
      <c r="AB93" s="2">
        <f t="shared" si="59"/>
        <v>0</v>
      </c>
      <c r="AC93" s="2"/>
      <c r="AD93" s="2"/>
      <c r="AE93" s="2"/>
      <c r="AF93" s="25" t="e">
        <f t="shared" si="60"/>
        <v>#DIV/0!</v>
      </c>
      <c r="AG93" s="2">
        <f t="shared" si="61"/>
        <v>0</v>
      </c>
      <c r="AH93" s="2"/>
      <c r="AI93" s="2"/>
      <c r="AJ93" s="2"/>
      <c r="AK93" s="25" t="e">
        <f t="shared" si="42"/>
        <v>#DIV/0!</v>
      </c>
      <c r="AL93" s="2"/>
      <c r="AM93" s="2"/>
      <c r="AN93" s="2"/>
      <c r="AO93" s="2"/>
      <c r="AP93" s="25" t="e">
        <f t="shared" si="43"/>
        <v>#DIV/0!</v>
      </c>
      <c r="AQ93" s="2"/>
      <c r="AR93" s="2">
        <v>4959</v>
      </c>
      <c r="AS93" s="2">
        <v>1726</v>
      </c>
      <c r="AT93" s="2">
        <v>1212</v>
      </c>
      <c r="AU93" s="25">
        <f t="shared" si="44"/>
        <v>0.24440411373260737</v>
      </c>
      <c r="AV93" s="2">
        <f t="shared" si="62"/>
        <v>-514</v>
      </c>
      <c r="AW93" s="2">
        <v>8489</v>
      </c>
      <c r="AX93" s="2">
        <v>1527</v>
      </c>
      <c r="AY93" s="2">
        <v>1162</v>
      </c>
      <c r="AZ93" s="25">
        <f t="shared" si="45"/>
        <v>0.13688302509129463</v>
      </c>
      <c r="BA93" s="2"/>
      <c r="BB93" s="2">
        <f t="shared" si="46"/>
        <v>16742</v>
      </c>
      <c r="BC93" s="2">
        <f t="shared" si="47"/>
        <v>3873</v>
      </c>
      <c r="BD93" s="2">
        <f t="shared" si="48"/>
        <v>2714</v>
      </c>
      <c r="BE93" s="25">
        <f t="shared" si="49"/>
        <v>0.16210727511647355</v>
      </c>
      <c r="BF93" s="2"/>
    </row>
    <row r="94" spans="1:58" x14ac:dyDescent="0.35">
      <c r="A94" s="6">
        <v>586404</v>
      </c>
      <c r="B94" s="6" t="s">
        <v>19</v>
      </c>
      <c r="C94" s="6" t="s">
        <v>122</v>
      </c>
      <c r="D94" s="6">
        <v>70</v>
      </c>
      <c r="E94" s="6">
        <v>56</v>
      </c>
      <c r="F94" s="6">
        <v>21</v>
      </c>
      <c r="G94" s="14">
        <f t="shared" si="50"/>
        <v>0.3</v>
      </c>
      <c r="H94" s="6">
        <f t="shared" si="51"/>
        <v>-35</v>
      </c>
      <c r="I94" s="6">
        <v>268</v>
      </c>
      <c r="J94" s="6">
        <v>113</v>
      </c>
      <c r="K94" s="6">
        <v>67</v>
      </c>
      <c r="L94" s="14">
        <f t="shared" si="52"/>
        <v>0.25</v>
      </c>
      <c r="M94" s="6">
        <f t="shared" si="53"/>
        <v>-46</v>
      </c>
      <c r="N94" s="6">
        <v>406</v>
      </c>
      <c r="O94" s="6">
        <v>83</v>
      </c>
      <c r="P94" s="6">
        <v>20</v>
      </c>
      <c r="Q94" s="14">
        <f t="shared" si="54"/>
        <v>4.9261083743842367E-2</v>
      </c>
      <c r="R94" s="6">
        <f t="shared" si="55"/>
        <v>-63</v>
      </c>
      <c r="S94" s="6">
        <v>1331</v>
      </c>
      <c r="T94" s="6">
        <v>20</v>
      </c>
      <c r="U94" s="6">
        <v>31</v>
      </c>
      <c r="V94" s="14">
        <f t="shared" si="56"/>
        <v>2.3290758827948909E-2</v>
      </c>
      <c r="W94" s="6">
        <f t="shared" si="57"/>
        <v>11</v>
      </c>
      <c r="X94" s="2"/>
      <c r="Y94" s="2"/>
      <c r="Z94" s="2"/>
      <c r="AA94" s="25" t="e">
        <f t="shared" si="58"/>
        <v>#DIV/0!</v>
      </c>
      <c r="AB94" s="2">
        <f t="shared" si="59"/>
        <v>0</v>
      </c>
      <c r="AC94" s="2"/>
      <c r="AD94" s="2"/>
      <c r="AE94" s="2"/>
      <c r="AF94" s="25" t="e">
        <f t="shared" si="60"/>
        <v>#DIV/0!</v>
      </c>
      <c r="AG94" s="2">
        <f t="shared" si="61"/>
        <v>0</v>
      </c>
      <c r="AH94" s="2">
        <v>13530</v>
      </c>
      <c r="AI94" s="2">
        <v>2</v>
      </c>
      <c r="AJ94" s="2">
        <v>4</v>
      </c>
      <c r="AK94" s="25">
        <f t="shared" si="42"/>
        <v>2.9563932002956393E-4</v>
      </c>
      <c r="AL94" s="2"/>
      <c r="AM94" s="2">
        <v>16053</v>
      </c>
      <c r="AN94" s="2">
        <v>62</v>
      </c>
      <c r="AO94" s="2">
        <v>50</v>
      </c>
      <c r="AP94" s="25">
        <f t="shared" si="43"/>
        <v>3.1146826138416495E-3</v>
      </c>
      <c r="AQ94" s="2"/>
      <c r="AR94" s="2"/>
      <c r="AS94" s="2"/>
      <c r="AT94" s="2"/>
      <c r="AU94" s="25" t="e">
        <f t="shared" si="44"/>
        <v>#DIV/0!</v>
      </c>
      <c r="AV94" s="2">
        <f t="shared" si="62"/>
        <v>0</v>
      </c>
      <c r="AW94" s="2"/>
      <c r="AX94" s="2"/>
      <c r="AY94" s="2"/>
      <c r="AZ94" s="25" t="e">
        <f t="shared" si="45"/>
        <v>#DIV/0!</v>
      </c>
      <c r="BA94" s="2"/>
      <c r="BB94" s="2">
        <f t="shared" si="46"/>
        <v>31658</v>
      </c>
      <c r="BC94" s="2">
        <f t="shared" si="47"/>
        <v>336</v>
      </c>
      <c r="BD94" s="2">
        <f t="shared" si="48"/>
        <v>193</v>
      </c>
      <c r="BE94" s="25">
        <f t="shared" si="49"/>
        <v>6.0964053319855962E-3</v>
      </c>
      <c r="BF94" s="2"/>
    </row>
    <row r="95" spans="1:58" x14ac:dyDescent="0.35">
      <c r="A95" s="6">
        <v>364310</v>
      </c>
      <c r="B95" s="6" t="s">
        <v>35</v>
      </c>
      <c r="C95" s="6" t="s">
        <v>122</v>
      </c>
      <c r="D95" s="6">
        <v>5465</v>
      </c>
      <c r="E95" s="6">
        <v>765</v>
      </c>
      <c r="F95" s="6">
        <v>561</v>
      </c>
      <c r="G95" s="14">
        <f t="shared" si="50"/>
        <v>0.10265324794144556</v>
      </c>
      <c r="H95" s="6">
        <f t="shared" si="51"/>
        <v>-204</v>
      </c>
      <c r="I95" s="6">
        <v>833</v>
      </c>
      <c r="J95" s="6">
        <v>126</v>
      </c>
      <c r="K95" s="6">
        <v>127</v>
      </c>
      <c r="L95" s="14">
        <f t="shared" si="52"/>
        <v>0.15246098439375749</v>
      </c>
      <c r="M95" s="6">
        <f t="shared" si="53"/>
        <v>1</v>
      </c>
      <c r="N95" s="6">
        <v>632</v>
      </c>
      <c r="O95" s="6">
        <v>185</v>
      </c>
      <c r="P95" s="6">
        <v>191</v>
      </c>
      <c r="Q95" s="14">
        <f t="shared" si="54"/>
        <v>0.30221518987341772</v>
      </c>
      <c r="R95" s="6">
        <f t="shared" si="55"/>
        <v>6</v>
      </c>
      <c r="S95" s="6">
        <v>433</v>
      </c>
      <c r="T95" s="6">
        <v>38</v>
      </c>
      <c r="U95" s="6">
        <v>29</v>
      </c>
      <c r="V95" s="14">
        <f t="shared" si="56"/>
        <v>6.6974595842956119E-2</v>
      </c>
      <c r="W95" s="6">
        <f t="shared" si="57"/>
        <v>-9</v>
      </c>
      <c r="X95" s="2"/>
      <c r="Y95" s="2"/>
      <c r="Z95" s="2"/>
      <c r="AA95" s="25" t="e">
        <f t="shared" si="58"/>
        <v>#DIV/0!</v>
      </c>
      <c r="AB95" s="2">
        <f t="shared" si="59"/>
        <v>0</v>
      </c>
      <c r="AC95" s="2"/>
      <c r="AD95" s="2"/>
      <c r="AE95" s="2"/>
      <c r="AF95" s="25" t="e">
        <f t="shared" si="60"/>
        <v>#DIV/0!</v>
      </c>
      <c r="AG95" s="2">
        <f t="shared" si="61"/>
        <v>0</v>
      </c>
      <c r="AH95" s="2"/>
      <c r="AI95" s="2"/>
      <c r="AJ95" s="2"/>
      <c r="AK95" s="25" t="e">
        <f t="shared" si="42"/>
        <v>#DIV/0!</v>
      </c>
      <c r="AL95" s="2"/>
      <c r="AM95" s="2">
        <v>13</v>
      </c>
      <c r="AN95" s="2">
        <v>12</v>
      </c>
      <c r="AO95" s="2"/>
      <c r="AP95" s="25">
        <f t="shared" si="43"/>
        <v>0</v>
      </c>
      <c r="AQ95" s="2"/>
      <c r="AR95" s="2"/>
      <c r="AS95" s="2"/>
      <c r="AT95" s="2"/>
      <c r="AU95" s="25" t="e">
        <f t="shared" si="44"/>
        <v>#DIV/0!</v>
      </c>
      <c r="AV95" s="2">
        <f t="shared" si="62"/>
        <v>0</v>
      </c>
      <c r="AW95" s="2"/>
      <c r="AX95" s="2"/>
      <c r="AY95" s="2"/>
      <c r="AZ95" s="25" t="e">
        <f t="shared" si="45"/>
        <v>#DIV/0!</v>
      </c>
      <c r="BA95" s="2"/>
      <c r="BB95" s="2">
        <f t="shared" si="46"/>
        <v>7376</v>
      </c>
      <c r="BC95" s="2">
        <f t="shared" si="47"/>
        <v>1126</v>
      </c>
      <c r="BD95" s="2">
        <f t="shared" si="48"/>
        <v>908</v>
      </c>
      <c r="BE95" s="25">
        <f t="shared" si="49"/>
        <v>0.12310195227765727</v>
      </c>
      <c r="BF95" s="2"/>
    </row>
    <row r="96" spans="1:58" x14ac:dyDescent="0.35">
      <c r="A96" s="6">
        <v>232415</v>
      </c>
      <c r="B96" s="6" t="s">
        <v>78</v>
      </c>
      <c r="C96" s="6" t="s">
        <v>122</v>
      </c>
      <c r="D96" s="6">
        <v>2478</v>
      </c>
      <c r="E96" s="6">
        <v>9</v>
      </c>
      <c r="F96" s="6">
        <v>9</v>
      </c>
      <c r="G96" s="14">
        <f t="shared" si="50"/>
        <v>3.6319612590799033E-3</v>
      </c>
      <c r="H96" s="6">
        <f t="shared" si="51"/>
        <v>0</v>
      </c>
      <c r="I96" s="6">
        <v>2158</v>
      </c>
      <c r="J96" s="6">
        <v>18</v>
      </c>
      <c r="K96" s="6">
        <v>0</v>
      </c>
      <c r="L96" s="14">
        <f t="shared" si="52"/>
        <v>0</v>
      </c>
      <c r="M96" s="6">
        <f t="shared" si="53"/>
        <v>-18</v>
      </c>
      <c r="N96" s="6">
        <v>0</v>
      </c>
      <c r="O96" s="6">
        <v>0</v>
      </c>
      <c r="P96" s="6">
        <v>0</v>
      </c>
      <c r="Q96" s="14" t="e">
        <f t="shared" si="54"/>
        <v>#DIV/0!</v>
      </c>
      <c r="R96" s="6">
        <f t="shared" si="55"/>
        <v>0</v>
      </c>
      <c r="S96" s="6">
        <v>1890</v>
      </c>
      <c r="T96" s="6">
        <v>58</v>
      </c>
      <c r="U96" s="6">
        <v>0</v>
      </c>
      <c r="V96" s="14">
        <f t="shared" si="56"/>
        <v>0</v>
      </c>
      <c r="W96" s="6">
        <f t="shared" si="57"/>
        <v>-58</v>
      </c>
      <c r="X96" s="2"/>
      <c r="Y96" s="2"/>
      <c r="Z96" s="2">
        <v>10</v>
      </c>
      <c r="AA96" s="25" t="e">
        <f t="shared" si="58"/>
        <v>#DIV/0!</v>
      </c>
      <c r="AB96" s="2">
        <f t="shared" si="59"/>
        <v>10</v>
      </c>
      <c r="AC96" s="2"/>
      <c r="AD96" s="2"/>
      <c r="AE96" s="2"/>
      <c r="AF96" s="25" t="e">
        <f t="shared" si="60"/>
        <v>#DIV/0!</v>
      </c>
      <c r="AG96" s="2">
        <f t="shared" si="61"/>
        <v>0</v>
      </c>
      <c r="AH96" s="2">
        <v>1297</v>
      </c>
      <c r="AI96" s="2">
        <v>12</v>
      </c>
      <c r="AJ96" s="2">
        <v>2</v>
      </c>
      <c r="AK96" s="25">
        <f t="shared" si="42"/>
        <v>1.5420200462606013E-3</v>
      </c>
      <c r="AL96" s="2"/>
      <c r="AM96" s="2">
        <v>2570</v>
      </c>
      <c r="AN96" s="2">
        <v>13</v>
      </c>
      <c r="AO96" s="2">
        <v>1</v>
      </c>
      <c r="AP96" s="25">
        <f t="shared" si="43"/>
        <v>3.8910505836575878E-4</v>
      </c>
      <c r="AQ96" s="2"/>
      <c r="AR96" s="2"/>
      <c r="AS96" s="2"/>
      <c r="AT96" s="2"/>
      <c r="AU96" s="25" t="e">
        <f t="shared" si="44"/>
        <v>#DIV/0!</v>
      </c>
      <c r="AV96" s="2">
        <f t="shared" si="62"/>
        <v>0</v>
      </c>
      <c r="AW96" s="2">
        <v>98</v>
      </c>
      <c r="AX96" s="2">
        <v>42</v>
      </c>
      <c r="AY96" s="2"/>
      <c r="AZ96" s="25">
        <f t="shared" si="45"/>
        <v>0</v>
      </c>
      <c r="BA96" s="2"/>
      <c r="BB96" s="2">
        <f t="shared" si="46"/>
        <v>10491</v>
      </c>
      <c r="BC96" s="2">
        <f t="shared" si="47"/>
        <v>152</v>
      </c>
      <c r="BD96" s="2">
        <f t="shared" si="48"/>
        <v>22</v>
      </c>
      <c r="BE96" s="25">
        <f t="shared" si="49"/>
        <v>2.0970355542846248E-3</v>
      </c>
      <c r="BF96" s="2"/>
    </row>
    <row r="97" spans="1:58" x14ac:dyDescent="0.35">
      <c r="A97" s="6">
        <v>195649</v>
      </c>
      <c r="B97" s="6" t="s">
        <v>80</v>
      </c>
      <c r="C97" s="6" t="s">
        <v>122</v>
      </c>
      <c r="D97" s="6">
        <v>2877</v>
      </c>
      <c r="E97" s="6">
        <v>20</v>
      </c>
      <c r="F97" s="6">
        <v>2</v>
      </c>
      <c r="G97" s="14">
        <f t="shared" si="50"/>
        <v>6.9516857838025723E-4</v>
      </c>
      <c r="H97" s="6">
        <f t="shared" si="51"/>
        <v>-18</v>
      </c>
      <c r="I97" s="6">
        <v>2169</v>
      </c>
      <c r="J97" s="6">
        <v>20</v>
      </c>
      <c r="K97" s="6">
        <v>15</v>
      </c>
      <c r="L97" s="14">
        <f t="shared" si="52"/>
        <v>6.9156293222683261E-3</v>
      </c>
      <c r="M97" s="6">
        <f t="shared" si="53"/>
        <v>-5</v>
      </c>
      <c r="N97" s="6">
        <v>0</v>
      </c>
      <c r="O97" s="6">
        <v>0</v>
      </c>
      <c r="P97" s="6">
        <v>0</v>
      </c>
      <c r="Q97" s="14" t="e">
        <f t="shared" si="54"/>
        <v>#DIV/0!</v>
      </c>
      <c r="R97" s="6">
        <f t="shared" si="55"/>
        <v>0</v>
      </c>
      <c r="S97" s="6">
        <v>996</v>
      </c>
      <c r="T97" s="6">
        <v>30</v>
      </c>
      <c r="U97" s="6">
        <v>4</v>
      </c>
      <c r="V97" s="14">
        <f t="shared" si="56"/>
        <v>4.0160642570281121E-3</v>
      </c>
      <c r="W97" s="6">
        <f t="shared" si="57"/>
        <v>-26</v>
      </c>
      <c r="X97" s="2"/>
      <c r="Y97" s="2"/>
      <c r="Z97" s="2"/>
      <c r="AA97" s="25" t="e">
        <f t="shared" si="58"/>
        <v>#DIV/0!</v>
      </c>
      <c r="AB97" s="2">
        <f t="shared" si="59"/>
        <v>0</v>
      </c>
      <c r="AC97" s="2"/>
      <c r="AD97" s="2"/>
      <c r="AE97" s="2"/>
      <c r="AF97" s="25" t="e">
        <f t="shared" si="60"/>
        <v>#DIV/0!</v>
      </c>
      <c r="AG97" s="2">
        <f t="shared" si="61"/>
        <v>0</v>
      </c>
      <c r="AH97" s="2"/>
      <c r="AI97" s="2"/>
      <c r="AJ97" s="2"/>
      <c r="AK97" s="25" t="e">
        <f t="shared" ref="AK97:AK126" si="63">AJ97/AH97</f>
        <v>#DIV/0!</v>
      </c>
      <c r="AL97" s="2"/>
      <c r="AM97" s="2"/>
      <c r="AN97" s="2"/>
      <c r="AO97" s="2"/>
      <c r="AP97" s="25" t="e">
        <f t="shared" ref="AP97:AP126" si="64">AO97/AM97</f>
        <v>#DIV/0!</v>
      </c>
      <c r="AQ97" s="2"/>
      <c r="AR97" s="2"/>
      <c r="AS97" s="2"/>
      <c r="AT97" s="2"/>
      <c r="AU97" s="25" t="e">
        <f t="shared" ref="AU97:AU126" si="65">AT97/AR97</f>
        <v>#DIV/0!</v>
      </c>
      <c r="AV97" s="2">
        <f t="shared" si="62"/>
        <v>0</v>
      </c>
      <c r="AW97" s="2"/>
      <c r="AX97" s="2"/>
      <c r="AY97" s="2"/>
      <c r="AZ97" s="25" t="e">
        <f t="shared" ref="AZ97:AZ126" si="66">AY97/AW97</f>
        <v>#DIV/0!</v>
      </c>
      <c r="BA97" s="2"/>
      <c r="BB97" s="2">
        <f t="shared" ref="BB97:BB125" si="67">AR97+AC97+X97+S97+N97+I97+D97+AM97+AH97+AW97</f>
        <v>6042</v>
      </c>
      <c r="BC97" s="2">
        <f t="shared" ref="BC97:BC125" si="68">AS97+AD97+Y97+T97+O97+J97+E97+AN97+AI97+AX97</f>
        <v>70</v>
      </c>
      <c r="BD97" s="2">
        <f t="shared" ref="BD97:BD125" si="69">AT97+AE97+Z97+U97+P97+K97+F97+AO97+AJ97+AY97</f>
        <v>21</v>
      </c>
      <c r="BE97" s="25">
        <f t="shared" ref="BE97:BE126" si="70">BD97/BB97</f>
        <v>3.4756703078450842E-3</v>
      </c>
      <c r="BF97" s="2"/>
    </row>
    <row r="98" spans="1:58" x14ac:dyDescent="0.35">
      <c r="A98" s="6">
        <v>333776</v>
      </c>
      <c r="B98" s="6" t="s">
        <v>97</v>
      </c>
      <c r="C98" s="6" t="s">
        <v>122</v>
      </c>
      <c r="D98" s="6">
        <v>4000</v>
      </c>
      <c r="E98" s="6">
        <v>246</v>
      </c>
      <c r="F98" s="6">
        <v>222</v>
      </c>
      <c r="G98" s="14">
        <f t="shared" si="50"/>
        <v>5.5500000000000001E-2</v>
      </c>
      <c r="H98" s="6">
        <f t="shared" si="51"/>
        <v>-24</v>
      </c>
      <c r="I98" s="6">
        <v>3805</v>
      </c>
      <c r="J98" s="6">
        <v>182</v>
      </c>
      <c r="K98" s="6">
        <v>130</v>
      </c>
      <c r="L98" s="14">
        <f t="shared" si="52"/>
        <v>3.4165571616294348E-2</v>
      </c>
      <c r="M98" s="6">
        <f t="shared" si="53"/>
        <v>-52</v>
      </c>
      <c r="N98" s="6">
        <v>4000</v>
      </c>
      <c r="O98" s="6">
        <v>30</v>
      </c>
      <c r="P98" s="6">
        <v>30</v>
      </c>
      <c r="Q98" s="14">
        <f t="shared" si="54"/>
        <v>7.4999999999999997E-3</v>
      </c>
      <c r="R98" s="6">
        <f t="shared" si="55"/>
        <v>0</v>
      </c>
      <c r="S98" s="6">
        <v>8990</v>
      </c>
      <c r="T98" s="6">
        <v>1193</v>
      </c>
      <c r="U98" s="6">
        <v>51</v>
      </c>
      <c r="V98" s="14">
        <f t="shared" si="56"/>
        <v>5.6729699666295888E-3</v>
      </c>
      <c r="W98" s="6">
        <f t="shared" si="57"/>
        <v>-1142</v>
      </c>
      <c r="X98" s="2"/>
      <c r="Y98" s="2"/>
      <c r="Z98" s="2"/>
      <c r="AA98" s="25" t="e">
        <f t="shared" si="58"/>
        <v>#DIV/0!</v>
      </c>
      <c r="AB98" s="2">
        <f t="shared" si="59"/>
        <v>0</v>
      </c>
      <c r="AC98" s="2"/>
      <c r="AD98" s="2"/>
      <c r="AE98" s="2"/>
      <c r="AF98" s="25" t="e">
        <f t="shared" si="60"/>
        <v>#DIV/0!</v>
      </c>
      <c r="AG98" s="2">
        <f t="shared" si="61"/>
        <v>0</v>
      </c>
      <c r="AH98" s="2"/>
      <c r="AI98" s="2"/>
      <c r="AJ98" s="2">
        <v>2</v>
      </c>
      <c r="AK98" s="25" t="e">
        <f t="shared" si="63"/>
        <v>#DIV/0!</v>
      </c>
      <c r="AL98" s="2"/>
      <c r="AM98" s="2">
        <v>2377</v>
      </c>
      <c r="AN98" s="2">
        <v>11</v>
      </c>
      <c r="AO98" s="2">
        <v>2</v>
      </c>
      <c r="AP98" s="25">
        <f t="shared" si="64"/>
        <v>8.4139671855279767E-4</v>
      </c>
      <c r="AQ98" s="2"/>
      <c r="AR98" s="2"/>
      <c r="AS98" s="2"/>
      <c r="AT98" s="2"/>
      <c r="AU98" s="25" t="e">
        <f t="shared" si="65"/>
        <v>#DIV/0!</v>
      </c>
      <c r="AV98" s="2">
        <f t="shared" si="62"/>
        <v>0</v>
      </c>
      <c r="AW98" s="2"/>
      <c r="AX98" s="2"/>
      <c r="AY98" s="2"/>
      <c r="AZ98" s="25" t="e">
        <f t="shared" si="66"/>
        <v>#DIV/0!</v>
      </c>
      <c r="BA98" s="2"/>
      <c r="BB98" s="2">
        <f t="shared" si="67"/>
        <v>23172</v>
      </c>
      <c r="BC98" s="2">
        <f t="shared" si="68"/>
        <v>1662</v>
      </c>
      <c r="BD98" s="2">
        <f t="shared" si="69"/>
        <v>437</v>
      </c>
      <c r="BE98" s="25">
        <f t="shared" si="70"/>
        <v>1.8858967719661661E-2</v>
      </c>
      <c r="BF98" s="2"/>
    </row>
    <row r="99" spans="1:58" x14ac:dyDescent="0.35">
      <c r="A99" s="6">
        <v>7031</v>
      </c>
      <c r="B99" s="6" t="s">
        <v>12</v>
      </c>
      <c r="C99" s="6" t="s">
        <v>122</v>
      </c>
      <c r="D99" s="6">
        <v>21</v>
      </c>
      <c r="E99" s="6">
        <v>21</v>
      </c>
      <c r="F99" s="6">
        <v>20</v>
      </c>
      <c r="G99" s="14">
        <f t="shared" si="50"/>
        <v>0.95238095238095233</v>
      </c>
      <c r="H99" s="6">
        <f t="shared" si="51"/>
        <v>-1</v>
      </c>
      <c r="I99" s="6">
        <v>2859</v>
      </c>
      <c r="J99" s="6">
        <v>147</v>
      </c>
      <c r="K99" s="6">
        <v>111</v>
      </c>
      <c r="L99" s="14">
        <f t="shared" si="52"/>
        <v>3.8824763903462747E-2</v>
      </c>
      <c r="M99" s="6">
        <f t="shared" si="53"/>
        <v>-36</v>
      </c>
      <c r="N99" s="6">
        <v>4033</v>
      </c>
      <c r="O99" s="6">
        <v>20</v>
      </c>
      <c r="P99" s="6">
        <v>32</v>
      </c>
      <c r="Q99" s="14">
        <f t="shared" si="54"/>
        <v>7.9345400446317882E-3</v>
      </c>
      <c r="R99" s="6">
        <f t="shared" si="55"/>
        <v>12</v>
      </c>
      <c r="S99" s="6">
        <v>0</v>
      </c>
      <c r="T99" s="6">
        <v>0</v>
      </c>
      <c r="U99" s="6">
        <v>0</v>
      </c>
      <c r="V99" s="14" t="e">
        <f t="shared" si="56"/>
        <v>#DIV/0!</v>
      </c>
      <c r="W99" s="6">
        <f t="shared" si="57"/>
        <v>0</v>
      </c>
      <c r="X99" s="2"/>
      <c r="Y99" s="2"/>
      <c r="Z99" s="2"/>
      <c r="AA99" s="25" t="e">
        <f t="shared" si="58"/>
        <v>#DIV/0!</v>
      </c>
      <c r="AB99" s="2">
        <f t="shared" si="59"/>
        <v>0</v>
      </c>
      <c r="AC99" s="2"/>
      <c r="AD99" s="2"/>
      <c r="AE99" s="2"/>
      <c r="AF99" s="25" t="e">
        <f t="shared" si="60"/>
        <v>#DIV/0!</v>
      </c>
      <c r="AG99" s="2">
        <f t="shared" si="61"/>
        <v>0</v>
      </c>
      <c r="AH99" s="2"/>
      <c r="AI99" s="2"/>
      <c r="AJ99" s="2"/>
      <c r="AK99" s="25" t="e">
        <f t="shared" si="63"/>
        <v>#DIV/0!</v>
      </c>
      <c r="AL99" s="2"/>
      <c r="AM99" s="2">
        <v>17</v>
      </c>
      <c r="AN99" s="2">
        <v>17</v>
      </c>
      <c r="AO99" s="2">
        <v>54</v>
      </c>
      <c r="AP99" s="25">
        <f t="shared" si="64"/>
        <v>3.1764705882352939</v>
      </c>
      <c r="AQ99" s="2"/>
      <c r="AR99" s="2">
        <v>1</v>
      </c>
      <c r="AS99" s="2">
        <v>1</v>
      </c>
      <c r="AT99" s="2"/>
      <c r="AU99" s="25">
        <f t="shared" si="65"/>
        <v>0</v>
      </c>
      <c r="AV99" s="2">
        <f t="shared" si="62"/>
        <v>-1</v>
      </c>
      <c r="AW99" s="2">
        <v>71</v>
      </c>
      <c r="AX99" s="2">
        <v>12</v>
      </c>
      <c r="AY99" s="2"/>
      <c r="AZ99" s="25">
        <f t="shared" si="66"/>
        <v>0</v>
      </c>
      <c r="BA99" s="2"/>
      <c r="BB99" s="2">
        <f t="shared" si="67"/>
        <v>7002</v>
      </c>
      <c r="BC99" s="2">
        <f t="shared" si="68"/>
        <v>218</v>
      </c>
      <c r="BD99" s="2">
        <f t="shared" si="69"/>
        <v>217</v>
      </c>
      <c r="BE99" s="25">
        <f t="shared" si="70"/>
        <v>3.0991145387032275E-2</v>
      </c>
      <c r="BF99" s="2"/>
    </row>
    <row r="100" spans="1:58" x14ac:dyDescent="0.35">
      <c r="A100" s="6">
        <v>338733</v>
      </c>
      <c r="B100" s="6" t="s">
        <v>44</v>
      </c>
      <c r="C100" s="6" t="s">
        <v>122</v>
      </c>
      <c r="D100" s="6">
        <v>11700</v>
      </c>
      <c r="E100" s="6">
        <v>1049</v>
      </c>
      <c r="F100" s="6">
        <v>655</v>
      </c>
      <c r="G100" s="14">
        <f t="shared" si="50"/>
        <v>5.5982905982905985E-2</v>
      </c>
      <c r="H100" s="6">
        <f t="shared" si="51"/>
        <v>-394</v>
      </c>
      <c r="I100" s="6">
        <v>463</v>
      </c>
      <c r="J100" s="6">
        <v>126</v>
      </c>
      <c r="K100" s="6">
        <v>463</v>
      </c>
      <c r="L100" s="14">
        <f t="shared" si="52"/>
        <v>1</v>
      </c>
      <c r="M100" s="6">
        <f t="shared" si="53"/>
        <v>337</v>
      </c>
      <c r="N100" s="6">
        <v>3999</v>
      </c>
      <c r="O100" s="6">
        <v>0</v>
      </c>
      <c r="P100" s="6">
        <v>0</v>
      </c>
      <c r="Q100" s="14">
        <f t="shared" si="54"/>
        <v>0</v>
      </c>
      <c r="R100" s="6">
        <f t="shared" si="55"/>
        <v>0</v>
      </c>
      <c r="S100" s="6">
        <v>334</v>
      </c>
      <c r="T100" s="6">
        <v>61</v>
      </c>
      <c r="U100" s="6">
        <v>61</v>
      </c>
      <c r="V100" s="14">
        <f t="shared" si="56"/>
        <v>0.18263473053892215</v>
      </c>
      <c r="W100" s="6">
        <f t="shared" si="57"/>
        <v>0</v>
      </c>
      <c r="X100" s="2">
        <v>411</v>
      </c>
      <c r="Y100" s="2">
        <v>46</v>
      </c>
      <c r="Z100" s="2">
        <v>44</v>
      </c>
      <c r="AA100" s="25">
        <f t="shared" si="58"/>
        <v>0.1070559610705596</v>
      </c>
      <c r="AB100" s="2">
        <f t="shared" si="59"/>
        <v>-2</v>
      </c>
      <c r="AC100" s="2"/>
      <c r="AD100" s="2"/>
      <c r="AE100" s="2"/>
      <c r="AF100" s="25" t="e">
        <f t="shared" si="60"/>
        <v>#DIV/0!</v>
      </c>
      <c r="AG100" s="2">
        <f t="shared" si="61"/>
        <v>0</v>
      </c>
      <c r="AH100" s="2"/>
      <c r="AI100" s="2"/>
      <c r="AJ100" s="2"/>
      <c r="AK100" s="25" t="e">
        <f t="shared" si="63"/>
        <v>#DIV/0!</v>
      </c>
      <c r="AL100" s="2"/>
      <c r="AM100" s="2"/>
      <c r="AN100" s="2"/>
      <c r="AO100" s="2"/>
      <c r="AP100" s="25" t="e">
        <f t="shared" si="64"/>
        <v>#DIV/0!</v>
      </c>
      <c r="AQ100" s="2"/>
      <c r="AR100" s="2"/>
      <c r="AS100" s="2"/>
      <c r="AT100" s="2"/>
      <c r="AU100" s="25" t="e">
        <f t="shared" si="65"/>
        <v>#DIV/0!</v>
      </c>
      <c r="AV100" s="2">
        <f t="shared" si="62"/>
        <v>0</v>
      </c>
      <c r="AW100" s="2"/>
      <c r="AX100" s="2"/>
      <c r="AY100" s="2"/>
      <c r="AZ100" s="25" t="e">
        <f t="shared" si="66"/>
        <v>#DIV/0!</v>
      </c>
      <c r="BA100" s="2"/>
      <c r="BB100" s="2">
        <f t="shared" si="67"/>
        <v>16907</v>
      </c>
      <c r="BC100" s="2">
        <f t="shared" si="68"/>
        <v>1282</v>
      </c>
      <c r="BD100" s="2">
        <f t="shared" si="69"/>
        <v>1223</v>
      </c>
      <c r="BE100" s="25">
        <f t="shared" si="70"/>
        <v>7.2336901874963028E-2</v>
      </c>
      <c r="BF100" s="2"/>
    </row>
    <row r="101" spans="1:58" x14ac:dyDescent="0.35">
      <c r="A101" s="6">
        <v>338707</v>
      </c>
      <c r="B101" s="6" t="s">
        <v>45</v>
      </c>
      <c r="C101" s="6" t="s">
        <v>122</v>
      </c>
      <c r="D101" s="6">
        <v>649</v>
      </c>
      <c r="E101" s="6">
        <v>37</v>
      </c>
      <c r="F101" s="6">
        <v>35</v>
      </c>
      <c r="G101" s="14">
        <f t="shared" si="50"/>
        <v>5.3929121725731895E-2</v>
      </c>
      <c r="H101" s="6">
        <f t="shared" si="51"/>
        <v>-2</v>
      </c>
      <c r="I101" s="6">
        <v>0</v>
      </c>
      <c r="J101" s="6">
        <v>0</v>
      </c>
      <c r="K101" s="6">
        <v>0</v>
      </c>
      <c r="L101" s="6">
        <v>0</v>
      </c>
      <c r="M101" s="6">
        <f t="shared" si="53"/>
        <v>0</v>
      </c>
      <c r="N101" s="6">
        <v>3997</v>
      </c>
      <c r="O101" s="6">
        <v>3</v>
      </c>
      <c r="P101" s="6">
        <v>0</v>
      </c>
      <c r="Q101" s="14">
        <f t="shared" si="54"/>
        <v>0</v>
      </c>
      <c r="R101" s="6">
        <f t="shared" si="55"/>
        <v>-3</v>
      </c>
      <c r="S101" s="6">
        <v>0</v>
      </c>
      <c r="T101" s="6">
        <v>0</v>
      </c>
      <c r="U101" s="6">
        <v>0</v>
      </c>
      <c r="V101" s="14" t="e">
        <f t="shared" si="56"/>
        <v>#DIV/0!</v>
      </c>
      <c r="W101" s="6">
        <f t="shared" si="57"/>
        <v>0</v>
      </c>
      <c r="X101" s="2"/>
      <c r="Y101" s="2"/>
      <c r="Z101" s="2"/>
      <c r="AA101" s="25" t="e">
        <f t="shared" si="58"/>
        <v>#DIV/0!</v>
      </c>
      <c r="AB101" s="2">
        <f t="shared" si="59"/>
        <v>0</v>
      </c>
      <c r="AC101" s="2"/>
      <c r="AD101" s="2"/>
      <c r="AE101" s="2"/>
      <c r="AF101" s="25" t="e">
        <f t="shared" si="60"/>
        <v>#DIV/0!</v>
      </c>
      <c r="AG101" s="2">
        <f t="shared" si="61"/>
        <v>0</v>
      </c>
      <c r="AH101" s="2"/>
      <c r="AI101" s="2"/>
      <c r="AJ101" s="2"/>
      <c r="AK101" s="25" t="e">
        <f t="shared" si="63"/>
        <v>#DIV/0!</v>
      </c>
      <c r="AL101" s="2"/>
      <c r="AM101" s="2"/>
      <c r="AN101" s="2"/>
      <c r="AO101" s="2"/>
      <c r="AP101" s="25" t="e">
        <f t="shared" si="64"/>
        <v>#DIV/0!</v>
      </c>
      <c r="AQ101" s="2"/>
      <c r="AR101" s="2"/>
      <c r="AS101" s="2"/>
      <c r="AT101" s="2"/>
      <c r="AU101" s="25" t="e">
        <f t="shared" si="65"/>
        <v>#DIV/0!</v>
      </c>
      <c r="AV101" s="2">
        <f t="shared" si="62"/>
        <v>0</v>
      </c>
      <c r="AW101" s="2"/>
      <c r="AX101" s="2"/>
      <c r="AY101" s="2"/>
      <c r="AZ101" s="25" t="e">
        <f t="shared" si="66"/>
        <v>#DIV/0!</v>
      </c>
      <c r="BA101" s="2"/>
      <c r="BB101" s="2">
        <f t="shared" si="67"/>
        <v>4646</v>
      </c>
      <c r="BC101" s="2">
        <f t="shared" si="68"/>
        <v>40</v>
      </c>
      <c r="BD101" s="2">
        <f t="shared" si="69"/>
        <v>35</v>
      </c>
      <c r="BE101" s="25">
        <f t="shared" si="70"/>
        <v>7.5333620318553595E-3</v>
      </c>
      <c r="BF101" s="2"/>
    </row>
    <row r="102" spans="1:58" x14ac:dyDescent="0.35">
      <c r="A102" s="6">
        <v>469381</v>
      </c>
      <c r="B102" s="6" t="s">
        <v>54</v>
      </c>
      <c r="C102" s="6" t="s">
        <v>122</v>
      </c>
      <c r="D102" s="6">
        <v>1272</v>
      </c>
      <c r="E102" s="6">
        <v>477</v>
      </c>
      <c r="F102" s="6">
        <v>0</v>
      </c>
      <c r="G102" s="14">
        <f t="shared" si="50"/>
        <v>0</v>
      </c>
      <c r="H102" s="6">
        <f t="shared" si="51"/>
        <v>-477</v>
      </c>
      <c r="I102" s="6">
        <v>1004</v>
      </c>
      <c r="J102" s="6">
        <v>840</v>
      </c>
      <c r="K102" s="6">
        <v>99</v>
      </c>
      <c r="L102" s="14">
        <f>K102/I102</f>
        <v>9.8605577689243024E-2</v>
      </c>
      <c r="M102" s="6">
        <f t="shared" si="53"/>
        <v>-741</v>
      </c>
      <c r="N102" s="6">
        <v>3981</v>
      </c>
      <c r="O102" s="6">
        <v>142</v>
      </c>
      <c r="P102" s="6">
        <v>24</v>
      </c>
      <c r="Q102" s="14">
        <f t="shared" si="54"/>
        <v>6.0286360211002261E-3</v>
      </c>
      <c r="R102" s="6">
        <f t="shared" si="55"/>
        <v>-118</v>
      </c>
      <c r="S102" s="6">
        <v>7797</v>
      </c>
      <c r="T102" s="6">
        <v>1462</v>
      </c>
      <c r="U102" s="6">
        <v>132</v>
      </c>
      <c r="V102" s="14">
        <f t="shared" si="56"/>
        <v>1.6929588303193535E-2</v>
      </c>
      <c r="W102" s="6">
        <f t="shared" si="57"/>
        <v>-1330</v>
      </c>
      <c r="X102" s="2">
        <v>6469</v>
      </c>
      <c r="Y102" s="2">
        <v>884</v>
      </c>
      <c r="Z102" s="2">
        <v>579</v>
      </c>
      <c r="AA102" s="25">
        <f t="shared" si="58"/>
        <v>8.9503787293244708E-2</v>
      </c>
      <c r="AB102" s="2">
        <f t="shared" si="59"/>
        <v>-305</v>
      </c>
      <c r="AC102" s="2">
        <v>8261</v>
      </c>
      <c r="AD102" s="2">
        <v>480</v>
      </c>
      <c r="AE102" s="2">
        <v>426</v>
      </c>
      <c r="AF102" s="25">
        <f t="shared" si="60"/>
        <v>5.1567606827260623E-2</v>
      </c>
      <c r="AG102" s="2">
        <f t="shared" si="61"/>
        <v>-54</v>
      </c>
      <c r="AH102" s="2">
        <v>4</v>
      </c>
      <c r="AI102" s="2">
        <v>4</v>
      </c>
      <c r="AJ102" s="2"/>
      <c r="AK102" s="25">
        <f t="shared" si="63"/>
        <v>0</v>
      </c>
      <c r="AL102" s="2"/>
      <c r="AM102" s="2"/>
      <c r="AN102" s="2"/>
      <c r="AO102" s="2"/>
      <c r="AP102" s="25" t="e">
        <f t="shared" si="64"/>
        <v>#DIV/0!</v>
      </c>
      <c r="AQ102" s="2"/>
      <c r="AR102" s="2">
        <v>4065</v>
      </c>
      <c r="AS102" s="2">
        <v>530</v>
      </c>
      <c r="AT102" s="2">
        <v>461</v>
      </c>
      <c r="AU102" s="25">
        <f t="shared" si="65"/>
        <v>0.11340713407134072</v>
      </c>
      <c r="AV102" s="2">
        <f t="shared" si="62"/>
        <v>-69</v>
      </c>
      <c r="AW102" s="2">
        <v>1581</v>
      </c>
      <c r="AX102" s="2">
        <v>0</v>
      </c>
      <c r="AY102" s="2"/>
      <c r="AZ102" s="25">
        <f t="shared" si="66"/>
        <v>0</v>
      </c>
      <c r="BA102" s="2"/>
      <c r="BB102" s="2">
        <f t="shared" si="67"/>
        <v>34434</v>
      </c>
      <c r="BC102" s="2">
        <f t="shared" si="68"/>
        <v>4819</v>
      </c>
      <c r="BD102" s="2">
        <f t="shared" si="69"/>
        <v>1721</v>
      </c>
      <c r="BE102" s="25">
        <f t="shared" si="70"/>
        <v>4.9979671255154789E-2</v>
      </c>
      <c r="BF102" s="2"/>
    </row>
    <row r="103" spans="1:58" x14ac:dyDescent="0.35">
      <c r="A103" s="6">
        <v>762793</v>
      </c>
      <c r="B103" s="6" t="s">
        <v>77</v>
      </c>
      <c r="C103" s="6" t="s">
        <v>122</v>
      </c>
      <c r="D103" s="6">
        <v>788</v>
      </c>
      <c r="E103" s="6">
        <v>5</v>
      </c>
      <c r="F103" s="6">
        <v>0</v>
      </c>
      <c r="G103" s="14">
        <f t="shared" si="50"/>
        <v>0</v>
      </c>
      <c r="H103" s="6">
        <f t="shared" si="51"/>
        <v>-5</v>
      </c>
      <c r="I103" s="6">
        <v>3024</v>
      </c>
      <c r="J103" s="6">
        <v>65</v>
      </c>
      <c r="K103" s="6">
        <v>25</v>
      </c>
      <c r="L103" s="14">
        <f>K103/I103</f>
        <v>8.2671957671957667E-3</v>
      </c>
      <c r="M103" s="6">
        <f t="shared" si="53"/>
        <v>-40</v>
      </c>
      <c r="N103" s="6">
        <v>296</v>
      </c>
      <c r="O103" s="6">
        <v>11</v>
      </c>
      <c r="P103" s="6">
        <v>28</v>
      </c>
      <c r="Q103" s="14">
        <f t="shared" si="54"/>
        <v>9.45945945945946E-2</v>
      </c>
      <c r="R103" s="6">
        <f t="shared" si="55"/>
        <v>17</v>
      </c>
      <c r="S103" s="6">
        <v>0</v>
      </c>
      <c r="T103" s="6">
        <v>0</v>
      </c>
      <c r="U103" s="6">
        <v>0</v>
      </c>
      <c r="V103" s="14" t="e">
        <f t="shared" si="56"/>
        <v>#DIV/0!</v>
      </c>
      <c r="W103" s="6">
        <f t="shared" si="57"/>
        <v>0</v>
      </c>
      <c r="X103" s="2">
        <v>3</v>
      </c>
      <c r="Y103" s="2">
        <v>3</v>
      </c>
      <c r="Z103" s="2">
        <v>3</v>
      </c>
      <c r="AA103" s="25">
        <f t="shared" si="58"/>
        <v>1</v>
      </c>
      <c r="AB103" s="2">
        <f t="shared" si="59"/>
        <v>0</v>
      </c>
      <c r="AC103" s="2">
        <v>1</v>
      </c>
      <c r="AD103" s="2">
        <v>1</v>
      </c>
      <c r="AE103" s="2">
        <v>1</v>
      </c>
      <c r="AF103" s="25">
        <f t="shared" si="60"/>
        <v>1</v>
      </c>
      <c r="AG103" s="2">
        <f t="shared" si="61"/>
        <v>0</v>
      </c>
      <c r="AH103" s="2">
        <v>1</v>
      </c>
      <c r="AI103" s="2">
        <v>0</v>
      </c>
      <c r="AJ103" s="2"/>
      <c r="AK103" s="25">
        <f t="shared" si="63"/>
        <v>0</v>
      </c>
      <c r="AL103" s="2"/>
      <c r="AM103" s="2"/>
      <c r="AN103" s="2"/>
      <c r="AO103" s="2"/>
      <c r="AP103" s="25" t="e">
        <f t="shared" si="64"/>
        <v>#DIV/0!</v>
      </c>
      <c r="AQ103" s="2"/>
      <c r="AR103" s="2"/>
      <c r="AS103" s="2"/>
      <c r="AT103" s="2"/>
      <c r="AU103" s="25" t="e">
        <f t="shared" si="65"/>
        <v>#DIV/0!</v>
      </c>
      <c r="AV103" s="2">
        <f t="shared" si="62"/>
        <v>0</v>
      </c>
      <c r="AW103" s="2"/>
      <c r="AX103" s="2"/>
      <c r="AY103" s="2"/>
      <c r="AZ103" s="25" t="e">
        <f t="shared" si="66"/>
        <v>#DIV/0!</v>
      </c>
      <c r="BA103" s="2"/>
      <c r="BB103" s="2">
        <f t="shared" si="67"/>
        <v>4113</v>
      </c>
      <c r="BC103" s="2">
        <f t="shared" si="68"/>
        <v>85</v>
      </c>
      <c r="BD103" s="2">
        <f t="shared" si="69"/>
        <v>57</v>
      </c>
      <c r="BE103" s="25">
        <f t="shared" si="70"/>
        <v>1.3858497447118891E-2</v>
      </c>
      <c r="BF103" s="2"/>
    </row>
    <row r="104" spans="1:58" x14ac:dyDescent="0.35">
      <c r="A104" s="6">
        <v>338734</v>
      </c>
      <c r="B104" s="6" t="s">
        <v>84</v>
      </c>
      <c r="C104" s="6" t="s">
        <v>122</v>
      </c>
      <c r="D104" s="6">
        <v>86</v>
      </c>
      <c r="E104" s="6">
        <v>86</v>
      </c>
      <c r="F104" s="6">
        <v>62</v>
      </c>
      <c r="G104" s="14">
        <f t="shared" si="50"/>
        <v>0.72093023255813948</v>
      </c>
      <c r="H104" s="6">
        <f t="shared" si="51"/>
        <v>-24</v>
      </c>
      <c r="I104" s="6">
        <v>0</v>
      </c>
      <c r="J104" s="6">
        <v>0</v>
      </c>
      <c r="K104" s="6">
        <v>0</v>
      </c>
      <c r="L104" s="6">
        <v>0</v>
      </c>
      <c r="M104" s="6">
        <f t="shared" si="53"/>
        <v>0</v>
      </c>
      <c r="N104" s="6">
        <v>0</v>
      </c>
      <c r="O104" s="6">
        <v>0</v>
      </c>
      <c r="P104" s="6">
        <v>0</v>
      </c>
      <c r="Q104" s="14" t="e">
        <f t="shared" si="54"/>
        <v>#DIV/0!</v>
      </c>
      <c r="R104" s="6">
        <f t="shared" si="55"/>
        <v>0</v>
      </c>
      <c r="S104" s="6">
        <v>0</v>
      </c>
      <c r="T104" s="6">
        <v>0</v>
      </c>
      <c r="U104" s="6">
        <v>0</v>
      </c>
      <c r="V104" s="14" t="e">
        <f t="shared" si="56"/>
        <v>#DIV/0!</v>
      </c>
      <c r="W104" s="6">
        <f t="shared" si="57"/>
        <v>0</v>
      </c>
      <c r="X104" s="2"/>
      <c r="Y104" s="2"/>
      <c r="Z104" s="2"/>
      <c r="AA104" s="25" t="e">
        <f t="shared" si="58"/>
        <v>#DIV/0!</v>
      </c>
      <c r="AB104" s="2">
        <f t="shared" si="59"/>
        <v>0</v>
      </c>
      <c r="AC104" s="2"/>
      <c r="AD104" s="2"/>
      <c r="AE104" s="2"/>
      <c r="AF104" s="25" t="e">
        <f t="shared" si="60"/>
        <v>#DIV/0!</v>
      </c>
      <c r="AG104" s="2">
        <f t="shared" si="61"/>
        <v>0</v>
      </c>
      <c r="AH104" s="2"/>
      <c r="AI104" s="2"/>
      <c r="AJ104" s="2"/>
      <c r="AK104" s="25" t="e">
        <f t="shared" si="63"/>
        <v>#DIV/0!</v>
      </c>
      <c r="AL104" s="2"/>
      <c r="AM104" s="2"/>
      <c r="AN104" s="2"/>
      <c r="AO104" s="2"/>
      <c r="AP104" s="25" t="e">
        <f t="shared" si="64"/>
        <v>#DIV/0!</v>
      </c>
      <c r="AQ104" s="2"/>
      <c r="AR104" s="2">
        <v>1968</v>
      </c>
      <c r="AS104" s="2">
        <v>220</v>
      </c>
      <c r="AT104" s="2">
        <v>147</v>
      </c>
      <c r="AU104" s="25">
        <f t="shared" si="65"/>
        <v>7.4695121951219509E-2</v>
      </c>
      <c r="AV104" s="2">
        <f t="shared" si="62"/>
        <v>-73</v>
      </c>
      <c r="AW104" s="2"/>
      <c r="AX104" s="2"/>
      <c r="AY104" s="2"/>
      <c r="AZ104" s="25" t="e">
        <f t="shared" si="66"/>
        <v>#DIV/0!</v>
      </c>
      <c r="BA104" s="2"/>
      <c r="BB104" s="2">
        <f t="shared" si="67"/>
        <v>2054</v>
      </c>
      <c r="BC104" s="2">
        <f t="shared" si="68"/>
        <v>306</v>
      </c>
      <c r="BD104" s="2">
        <f t="shared" si="69"/>
        <v>209</v>
      </c>
      <c r="BE104" s="25">
        <f t="shared" si="70"/>
        <v>0.1017526777020448</v>
      </c>
      <c r="BF104" s="2"/>
    </row>
    <row r="105" spans="1:58" x14ac:dyDescent="0.35">
      <c r="A105" s="6">
        <v>234857</v>
      </c>
      <c r="B105" s="6" t="s">
        <v>85</v>
      </c>
      <c r="C105" s="6" t="s">
        <v>122</v>
      </c>
      <c r="D105" s="6">
        <v>3986</v>
      </c>
      <c r="E105" s="6">
        <v>2162</v>
      </c>
      <c r="F105" s="6">
        <v>1937</v>
      </c>
      <c r="G105" s="14">
        <f t="shared" si="50"/>
        <v>0.48595082789764177</v>
      </c>
      <c r="H105" s="6">
        <f t="shared" si="51"/>
        <v>-225</v>
      </c>
      <c r="I105" s="6">
        <v>5848</v>
      </c>
      <c r="J105" s="6">
        <v>928</v>
      </c>
      <c r="K105" s="6">
        <v>319</v>
      </c>
      <c r="L105" s="14">
        <f>K105/I105</f>
        <v>5.4548563611491109E-2</v>
      </c>
      <c r="M105" s="6">
        <f t="shared" si="53"/>
        <v>-609</v>
      </c>
      <c r="N105" s="6">
        <v>3621</v>
      </c>
      <c r="O105" s="6">
        <v>1647</v>
      </c>
      <c r="P105" s="6">
        <v>2094</v>
      </c>
      <c r="Q105" s="14">
        <f t="shared" si="54"/>
        <v>0.57829328914664457</v>
      </c>
      <c r="R105" s="6">
        <f t="shared" si="55"/>
        <v>447</v>
      </c>
      <c r="S105" s="6">
        <v>12244</v>
      </c>
      <c r="T105" s="6">
        <v>5594</v>
      </c>
      <c r="U105" s="6">
        <v>5508</v>
      </c>
      <c r="V105" s="14">
        <f t="shared" si="56"/>
        <v>0.44985298921920941</v>
      </c>
      <c r="W105" s="6">
        <f t="shared" si="57"/>
        <v>-86</v>
      </c>
      <c r="X105" s="2">
        <v>13413</v>
      </c>
      <c r="Y105" s="2">
        <v>2742</v>
      </c>
      <c r="Z105" s="2">
        <v>1894</v>
      </c>
      <c r="AA105" s="25">
        <f t="shared" si="58"/>
        <v>0.1412062924028927</v>
      </c>
      <c r="AB105" s="2">
        <f t="shared" si="59"/>
        <v>-848</v>
      </c>
      <c r="AC105" s="2">
        <v>14069</v>
      </c>
      <c r="AD105" s="2">
        <v>6574</v>
      </c>
      <c r="AE105" s="2">
        <v>6283</v>
      </c>
      <c r="AF105" s="25">
        <f t="shared" si="60"/>
        <v>0.44658468974340748</v>
      </c>
      <c r="AG105" s="2">
        <f t="shared" si="61"/>
        <v>-291</v>
      </c>
      <c r="AH105" s="2">
        <v>8975</v>
      </c>
      <c r="AI105" s="2">
        <v>7913</v>
      </c>
      <c r="AJ105" s="2">
        <v>6869</v>
      </c>
      <c r="AK105" s="25">
        <f t="shared" si="63"/>
        <v>0.76534818941504179</v>
      </c>
      <c r="AL105" s="2"/>
      <c r="AM105" s="2">
        <v>8000</v>
      </c>
      <c r="AN105" s="2">
        <v>767</v>
      </c>
      <c r="AO105" s="2">
        <v>209</v>
      </c>
      <c r="AP105" s="25">
        <f t="shared" si="64"/>
        <v>2.6124999999999999E-2</v>
      </c>
      <c r="AQ105" s="2"/>
      <c r="AR105" s="2">
        <v>19522</v>
      </c>
      <c r="AS105" s="2">
        <v>1790</v>
      </c>
      <c r="AT105" s="2">
        <v>1292</v>
      </c>
      <c r="AU105" s="25">
        <f t="shared" si="65"/>
        <v>6.6181743673803917E-2</v>
      </c>
      <c r="AV105" s="2">
        <f t="shared" si="62"/>
        <v>-498</v>
      </c>
      <c r="AW105" s="2">
        <v>23313</v>
      </c>
      <c r="AX105" s="2">
        <v>14168</v>
      </c>
      <c r="AY105" s="2">
        <v>15563</v>
      </c>
      <c r="AZ105" s="25">
        <f t="shared" si="66"/>
        <v>0.66756745163642606</v>
      </c>
      <c r="BA105" s="2"/>
      <c r="BB105" s="2">
        <f t="shared" si="67"/>
        <v>112991</v>
      </c>
      <c r="BC105" s="2">
        <f t="shared" si="68"/>
        <v>44285</v>
      </c>
      <c r="BD105" s="2">
        <f t="shared" si="69"/>
        <v>41968</v>
      </c>
      <c r="BE105" s="25">
        <f t="shared" si="70"/>
        <v>0.37142781283465054</v>
      </c>
      <c r="BF105" s="2"/>
    </row>
    <row r="106" spans="1:58" x14ac:dyDescent="0.35">
      <c r="A106" s="6">
        <v>405727</v>
      </c>
      <c r="B106" s="6" t="s">
        <v>86</v>
      </c>
      <c r="C106" s="6" t="s">
        <v>122</v>
      </c>
      <c r="D106" s="6">
        <v>5334</v>
      </c>
      <c r="E106" s="6">
        <v>1683</v>
      </c>
      <c r="F106" s="6">
        <v>1908</v>
      </c>
      <c r="G106" s="14">
        <f t="shared" si="50"/>
        <v>0.3577052868391451</v>
      </c>
      <c r="H106" s="6">
        <f t="shared" si="51"/>
        <v>225</v>
      </c>
      <c r="I106" s="6">
        <v>279</v>
      </c>
      <c r="J106" s="6">
        <v>279</v>
      </c>
      <c r="K106" s="6">
        <v>279</v>
      </c>
      <c r="L106" s="14">
        <f>K106/I106</f>
        <v>1</v>
      </c>
      <c r="M106" s="6">
        <f t="shared" si="53"/>
        <v>0</v>
      </c>
      <c r="N106" s="6">
        <v>4252</v>
      </c>
      <c r="O106" s="6">
        <v>512</v>
      </c>
      <c r="P106" s="6">
        <v>268</v>
      </c>
      <c r="Q106" s="14">
        <f t="shared" si="54"/>
        <v>6.3029162746942619E-2</v>
      </c>
      <c r="R106" s="6">
        <f t="shared" si="55"/>
        <v>-244</v>
      </c>
      <c r="S106" s="6">
        <v>0</v>
      </c>
      <c r="T106" s="6">
        <v>0</v>
      </c>
      <c r="U106" s="6">
        <v>0</v>
      </c>
      <c r="V106" s="14" t="e">
        <f t="shared" si="56"/>
        <v>#DIV/0!</v>
      </c>
      <c r="W106" s="6">
        <f t="shared" si="57"/>
        <v>0</v>
      </c>
      <c r="X106" s="2">
        <v>1587</v>
      </c>
      <c r="Y106" s="2">
        <v>313</v>
      </c>
      <c r="Z106" s="2">
        <v>311</v>
      </c>
      <c r="AA106" s="25">
        <f t="shared" si="58"/>
        <v>0.19596723377441713</v>
      </c>
      <c r="AB106" s="2">
        <f t="shared" si="59"/>
        <v>-2</v>
      </c>
      <c r="AC106" s="2">
        <v>3712</v>
      </c>
      <c r="AD106" s="2">
        <v>190</v>
      </c>
      <c r="AE106" s="2">
        <v>163</v>
      </c>
      <c r="AF106" s="25">
        <f t="shared" si="60"/>
        <v>4.3911637931034482E-2</v>
      </c>
      <c r="AG106" s="2">
        <f t="shared" si="61"/>
        <v>-27</v>
      </c>
      <c r="AH106" s="2">
        <v>1985</v>
      </c>
      <c r="AI106" s="2">
        <v>24</v>
      </c>
      <c r="AJ106" s="2">
        <v>24</v>
      </c>
      <c r="AK106" s="25">
        <f t="shared" si="63"/>
        <v>1.2090680100755667E-2</v>
      </c>
      <c r="AL106" s="2"/>
      <c r="AM106" s="2"/>
      <c r="AN106" s="2"/>
      <c r="AO106" s="2"/>
      <c r="AP106" s="25" t="e">
        <f t="shared" si="64"/>
        <v>#DIV/0!</v>
      </c>
      <c r="AQ106" s="2"/>
      <c r="AR106" s="2">
        <v>18302</v>
      </c>
      <c r="AS106" s="2">
        <v>293</v>
      </c>
      <c r="AT106" s="2">
        <v>255</v>
      </c>
      <c r="AU106" s="25">
        <f t="shared" si="65"/>
        <v>1.3932903507813354E-2</v>
      </c>
      <c r="AV106" s="2">
        <f t="shared" si="62"/>
        <v>-38</v>
      </c>
      <c r="AW106" s="2">
        <v>11425</v>
      </c>
      <c r="AX106" s="2">
        <v>264</v>
      </c>
      <c r="AY106" s="2">
        <v>217</v>
      </c>
      <c r="AZ106" s="25">
        <f t="shared" si="66"/>
        <v>1.8993435448577681E-2</v>
      </c>
      <c r="BA106" s="2"/>
      <c r="BB106" s="2">
        <f t="shared" si="67"/>
        <v>46876</v>
      </c>
      <c r="BC106" s="2">
        <f t="shared" si="68"/>
        <v>3558</v>
      </c>
      <c r="BD106" s="2">
        <f t="shared" si="69"/>
        <v>3425</v>
      </c>
      <c r="BE106" s="25">
        <f t="shared" si="70"/>
        <v>7.3065107944363855E-2</v>
      </c>
      <c r="BF106" s="2"/>
    </row>
    <row r="107" spans="1:58" x14ac:dyDescent="0.35">
      <c r="A107" s="6">
        <v>338739</v>
      </c>
      <c r="B107" s="6" t="s">
        <v>87</v>
      </c>
      <c r="C107" s="6" t="s">
        <v>122</v>
      </c>
      <c r="D107" s="6">
        <v>4696</v>
      </c>
      <c r="E107" s="6">
        <v>1637</v>
      </c>
      <c r="F107" s="6">
        <v>1637</v>
      </c>
      <c r="G107" s="14">
        <f t="shared" si="50"/>
        <v>0.34859454855195909</v>
      </c>
      <c r="H107" s="6">
        <f t="shared" si="51"/>
        <v>0</v>
      </c>
      <c r="I107" s="6">
        <v>0</v>
      </c>
      <c r="J107" s="6">
        <v>0</v>
      </c>
      <c r="K107" s="6">
        <v>0</v>
      </c>
      <c r="L107" s="6">
        <v>0</v>
      </c>
      <c r="M107" s="6">
        <f t="shared" si="53"/>
        <v>0</v>
      </c>
      <c r="N107" s="6">
        <v>0</v>
      </c>
      <c r="O107" s="6">
        <v>0</v>
      </c>
      <c r="P107" s="6">
        <v>0</v>
      </c>
      <c r="Q107" s="14" t="e">
        <f t="shared" si="54"/>
        <v>#DIV/0!</v>
      </c>
      <c r="R107" s="6">
        <f t="shared" si="55"/>
        <v>0</v>
      </c>
      <c r="S107" s="6">
        <v>0</v>
      </c>
      <c r="T107" s="6">
        <v>0</v>
      </c>
      <c r="U107" s="6">
        <v>0</v>
      </c>
      <c r="V107" s="14" t="e">
        <f t="shared" si="56"/>
        <v>#DIV/0!</v>
      </c>
      <c r="W107" s="6">
        <f t="shared" si="57"/>
        <v>0</v>
      </c>
      <c r="X107" s="2"/>
      <c r="Y107" s="2"/>
      <c r="Z107" s="2"/>
      <c r="AA107" s="25" t="e">
        <f t="shared" si="58"/>
        <v>#DIV/0!</v>
      </c>
      <c r="AB107" s="2">
        <f t="shared" si="59"/>
        <v>0</v>
      </c>
      <c r="AC107" s="2"/>
      <c r="AD107" s="2"/>
      <c r="AE107" s="2"/>
      <c r="AF107" s="25" t="e">
        <f t="shared" si="60"/>
        <v>#DIV/0!</v>
      </c>
      <c r="AG107" s="2">
        <f t="shared" si="61"/>
        <v>0</v>
      </c>
      <c r="AH107" s="2"/>
      <c r="AI107" s="2"/>
      <c r="AJ107" s="2"/>
      <c r="AK107" s="25" t="e">
        <f t="shared" si="63"/>
        <v>#DIV/0!</v>
      </c>
      <c r="AL107" s="2"/>
      <c r="AM107" s="2"/>
      <c r="AN107" s="2"/>
      <c r="AO107" s="2"/>
      <c r="AP107" s="25" t="e">
        <f t="shared" si="64"/>
        <v>#DIV/0!</v>
      </c>
      <c r="AQ107" s="2"/>
      <c r="AR107" s="2">
        <v>15</v>
      </c>
      <c r="AS107" s="2">
        <v>15</v>
      </c>
      <c r="AT107" s="2">
        <v>5</v>
      </c>
      <c r="AU107" s="25">
        <f t="shared" si="65"/>
        <v>0.33333333333333331</v>
      </c>
      <c r="AV107" s="2">
        <f t="shared" si="62"/>
        <v>-10</v>
      </c>
      <c r="AW107" s="2"/>
      <c r="AX107" s="2"/>
      <c r="AY107" s="2"/>
      <c r="AZ107" s="25" t="e">
        <f t="shared" si="66"/>
        <v>#DIV/0!</v>
      </c>
      <c r="BA107" s="2"/>
      <c r="BB107" s="2">
        <f t="shared" si="67"/>
        <v>4711</v>
      </c>
      <c r="BC107" s="2">
        <f t="shared" si="68"/>
        <v>1652</v>
      </c>
      <c r="BD107" s="2">
        <f t="shared" si="69"/>
        <v>1642</v>
      </c>
      <c r="BE107" s="25">
        <f t="shared" si="70"/>
        <v>0.34854595627255358</v>
      </c>
      <c r="BF107" s="2"/>
    </row>
    <row r="108" spans="1:58" x14ac:dyDescent="0.35">
      <c r="A108" s="6">
        <v>200355</v>
      </c>
      <c r="B108" s="6" t="s">
        <v>88</v>
      </c>
      <c r="C108" s="6" t="s">
        <v>122</v>
      </c>
      <c r="D108" s="6">
        <v>12048</v>
      </c>
      <c r="E108" s="6">
        <v>5737</v>
      </c>
      <c r="F108" s="6">
        <v>2913</v>
      </c>
      <c r="G108" s="14">
        <f t="shared" si="50"/>
        <v>0.24178286852589642</v>
      </c>
      <c r="H108" s="6">
        <f t="shared" si="51"/>
        <v>-2824</v>
      </c>
      <c r="I108" s="6">
        <v>9817</v>
      </c>
      <c r="J108" s="6">
        <v>9817</v>
      </c>
      <c r="K108" s="6">
        <v>9817</v>
      </c>
      <c r="L108" s="14">
        <f t="shared" ref="L108:L118" si="71">K108/I108</f>
        <v>1</v>
      </c>
      <c r="M108" s="6">
        <f t="shared" si="53"/>
        <v>0</v>
      </c>
      <c r="N108" s="6">
        <v>21796</v>
      </c>
      <c r="O108" s="6">
        <v>19545</v>
      </c>
      <c r="P108" s="6">
        <v>18365</v>
      </c>
      <c r="Q108" s="14">
        <f t="shared" si="54"/>
        <v>0.84258579555881818</v>
      </c>
      <c r="R108" s="6">
        <f t="shared" si="55"/>
        <v>-1180</v>
      </c>
      <c r="S108" s="6">
        <v>23898</v>
      </c>
      <c r="T108" s="6">
        <v>8613</v>
      </c>
      <c r="U108" s="6">
        <v>8435</v>
      </c>
      <c r="V108" s="14">
        <f t="shared" si="56"/>
        <v>0.35295840656121852</v>
      </c>
      <c r="W108" s="6">
        <f t="shared" si="57"/>
        <v>-178</v>
      </c>
      <c r="X108" s="2">
        <v>3759</v>
      </c>
      <c r="Y108" s="2">
        <v>551</v>
      </c>
      <c r="Z108" s="2">
        <v>549</v>
      </c>
      <c r="AA108" s="25">
        <f t="shared" si="58"/>
        <v>0.14604948124501196</v>
      </c>
      <c r="AB108" s="2">
        <f t="shared" si="59"/>
        <v>-2</v>
      </c>
      <c r="AC108" s="2">
        <v>17039</v>
      </c>
      <c r="AD108" s="2">
        <v>9801</v>
      </c>
      <c r="AE108" s="2">
        <v>6939</v>
      </c>
      <c r="AF108" s="25">
        <f t="shared" si="60"/>
        <v>0.40724220904982689</v>
      </c>
      <c r="AG108" s="2">
        <f t="shared" si="61"/>
        <v>-2862</v>
      </c>
      <c r="AH108" s="2">
        <v>11185</v>
      </c>
      <c r="AI108" s="2">
        <v>9963</v>
      </c>
      <c r="AJ108" s="2">
        <v>9606</v>
      </c>
      <c r="AK108" s="25">
        <f t="shared" si="63"/>
        <v>0.8588287885561019</v>
      </c>
      <c r="AL108" s="2"/>
      <c r="AM108" s="2">
        <v>6721</v>
      </c>
      <c r="AN108" s="2">
        <v>4961</v>
      </c>
      <c r="AO108" s="2">
        <v>4917</v>
      </c>
      <c r="AP108" s="25">
        <f t="shared" si="64"/>
        <v>0.73158756137479541</v>
      </c>
      <c r="AQ108" s="2"/>
      <c r="AR108" s="2">
        <v>22697</v>
      </c>
      <c r="AS108" s="2">
        <v>15197</v>
      </c>
      <c r="AT108" s="2">
        <v>14094</v>
      </c>
      <c r="AU108" s="25">
        <f t="shared" si="65"/>
        <v>0.6209631228796757</v>
      </c>
      <c r="AV108" s="2">
        <f t="shared" si="62"/>
        <v>-1103</v>
      </c>
      <c r="AW108" s="2">
        <v>16142</v>
      </c>
      <c r="AX108" s="2">
        <v>6163</v>
      </c>
      <c r="AY108" s="2">
        <v>4256</v>
      </c>
      <c r="AZ108" s="25">
        <f t="shared" si="66"/>
        <v>0.26366001734605377</v>
      </c>
      <c r="BA108" s="2"/>
      <c r="BB108" s="2">
        <f t="shared" si="67"/>
        <v>145102</v>
      </c>
      <c r="BC108" s="2">
        <f t="shared" si="68"/>
        <v>90348</v>
      </c>
      <c r="BD108" s="2">
        <f t="shared" si="69"/>
        <v>79891</v>
      </c>
      <c r="BE108" s="25">
        <f t="shared" si="70"/>
        <v>0.55058510564981877</v>
      </c>
      <c r="BF108" s="2"/>
    </row>
    <row r="109" spans="1:58" x14ac:dyDescent="0.35">
      <c r="A109" s="6">
        <v>246265</v>
      </c>
      <c r="B109" s="6" t="s">
        <v>90</v>
      </c>
      <c r="C109" s="6" t="s">
        <v>122</v>
      </c>
      <c r="D109" s="6">
        <v>29315</v>
      </c>
      <c r="E109" s="6">
        <v>5933</v>
      </c>
      <c r="F109" s="6">
        <v>2935</v>
      </c>
      <c r="G109" s="14">
        <f t="shared" si="50"/>
        <v>0.10011939280231963</v>
      </c>
      <c r="H109" s="6">
        <f t="shared" si="51"/>
        <v>-2998</v>
      </c>
      <c r="I109" s="6">
        <v>19117</v>
      </c>
      <c r="J109" s="6">
        <v>4796</v>
      </c>
      <c r="K109" s="6">
        <v>4992</v>
      </c>
      <c r="L109" s="14">
        <f t="shared" si="71"/>
        <v>0.26112883820683164</v>
      </c>
      <c r="M109" s="6">
        <f t="shared" si="53"/>
        <v>196</v>
      </c>
      <c r="N109" s="6">
        <v>24537</v>
      </c>
      <c r="O109" s="6">
        <v>7783</v>
      </c>
      <c r="P109" s="6">
        <v>5320</v>
      </c>
      <c r="Q109" s="14">
        <f t="shared" si="54"/>
        <v>0.21681542160818357</v>
      </c>
      <c r="R109" s="6">
        <f t="shared" si="55"/>
        <v>-2463</v>
      </c>
      <c r="S109" s="6">
        <v>33816</v>
      </c>
      <c r="T109" s="6">
        <v>31095</v>
      </c>
      <c r="U109" s="6">
        <v>11450</v>
      </c>
      <c r="V109" s="14">
        <f t="shared" si="56"/>
        <v>0.33859711379228769</v>
      </c>
      <c r="W109" s="6">
        <f t="shared" si="57"/>
        <v>-19645</v>
      </c>
      <c r="X109" s="2">
        <v>15964</v>
      </c>
      <c r="Y109" s="2">
        <v>15963</v>
      </c>
      <c r="Z109" s="2">
        <v>12407</v>
      </c>
      <c r="AA109" s="25">
        <f t="shared" si="58"/>
        <v>0.77718616887997993</v>
      </c>
      <c r="AB109" s="2">
        <f t="shared" si="59"/>
        <v>-3556</v>
      </c>
      <c r="AC109" s="2">
        <v>6613</v>
      </c>
      <c r="AD109" s="2">
        <v>6613</v>
      </c>
      <c r="AE109" s="2">
        <v>2872</v>
      </c>
      <c r="AF109" s="25">
        <f t="shared" si="60"/>
        <v>0.4342960834719492</v>
      </c>
      <c r="AG109" s="2">
        <f t="shared" si="61"/>
        <v>-3741</v>
      </c>
      <c r="AH109" s="2">
        <v>7263</v>
      </c>
      <c r="AI109" s="2">
        <v>7263</v>
      </c>
      <c r="AJ109" s="2">
        <v>514</v>
      </c>
      <c r="AK109" s="25">
        <f t="shared" si="63"/>
        <v>7.0769654412777092E-2</v>
      </c>
      <c r="AL109" s="2"/>
      <c r="AM109" s="2"/>
      <c r="AN109" s="2"/>
      <c r="AO109" s="2"/>
      <c r="AP109" s="25" t="e">
        <f t="shared" si="64"/>
        <v>#DIV/0!</v>
      </c>
      <c r="AQ109" s="2"/>
      <c r="AR109" s="2">
        <v>3621</v>
      </c>
      <c r="AS109" s="2">
        <v>3618</v>
      </c>
      <c r="AT109" s="2">
        <v>2829</v>
      </c>
      <c r="AU109" s="25">
        <f t="shared" si="65"/>
        <v>0.78127589063794534</v>
      </c>
      <c r="AV109" s="2">
        <f t="shared" si="62"/>
        <v>-789</v>
      </c>
      <c r="AW109" s="2">
        <v>8331</v>
      </c>
      <c r="AX109" s="2">
        <v>8148</v>
      </c>
      <c r="AY109" s="2">
        <v>1436</v>
      </c>
      <c r="AZ109" s="25">
        <f t="shared" si="66"/>
        <v>0.17236826311367182</v>
      </c>
      <c r="BA109" s="2"/>
      <c r="BB109" s="2">
        <f t="shared" si="67"/>
        <v>148577</v>
      </c>
      <c r="BC109" s="2">
        <f t="shared" si="68"/>
        <v>91212</v>
      </c>
      <c r="BD109" s="2">
        <f t="shared" si="69"/>
        <v>44755</v>
      </c>
      <c r="BE109" s="25">
        <f t="shared" si="70"/>
        <v>0.30122428101253895</v>
      </c>
      <c r="BF109" s="2"/>
    </row>
    <row r="110" spans="1:58" x14ac:dyDescent="0.35">
      <c r="A110" s="6">
        <v>495682</v>
      </c>
      <c r="B110" s="6" t="s">
        <v>91</v>
      </c>
      <c r="C110" s="6" t="s">
        <v>122</v>
      </c>
      <c r="D110" s="6">
        <v>4880</v>
      </c>
      <c r="E110" s="6">
        <v>246</v>
      </c>
      <c r="F110" s="6">
        <v>368</v>
      </c>
      <c r="G110" s="14">
        <f t="shared" si="50"/>
        <v>7.5409836065573776E-2</v>
      </c>
      <c r="H110" s="6">
        <f t="shared" si="51"/>
        <v>122</v>
      </c>
      <c r="I110" s="6">
        <v>8166</v>
      </c>
      <c r="J110" s="6">
        <v>1346</v>
      </c>
      <c r="K110" s="6">
        <v>1322</v>
      </c>
      <c r="L110" s="14">
        <f t="shared" si="71"/>
        <v>0.16189076659319129</v>
      </c>
      <c r="M110" s="6">
        <f t="shared" si="53"/>
        <v>-24</v>
      </c>
      <c r="N110" s="6">
        <v>3097</v>
      </c>
      <c r="O110" s="6">
        <v>242</v>
      </c>
      <c r="P110" s="6">
        <v>220</v>
      </c>
      <c r="Q110" s="14">
        <f t="shared" si="54"/>
        <v>7.1036486922828546E-2</v>
      </c>
      <c r="R110" s="6">
        <f t="shared" si="55"/>
        <v>-22</v>
      </c>
      <c r="S110" s="6">
        <v>3695</v>
      </c>
      <c r="T110" s="6">
        <v>203</v>
      </c>
      <c r="U110" s="6">
        <v>84</v>
      </c>
      <c r="V110" s="14">
        <f t="shared" si="56"/>
        <v>2.2733423545331529E-2</v>
      </c>
      <c r="W110" s="6">
        <f t="shared" si="57"/>
        <v>-119</v>
      </c>
      <c r="X110" s="2">
        <v>681</v>
      </c>
      <c r="Y110" s="2">
        <v>681</v>
      </c>
      <c r="Z110" s="2">
        <v>782</v>
      </c>
      <c r="AA110" s="25">
        <f t="shared" si="58"/>
        <v>1.1483113069016153</v>
      </c>
      <c r="AB110" s="2">
        <f t="shared" si="59"/>
        <v>101</v>
      </c>
      <c r="AC110" s="2">
        <v>669</v>
      </c>
      <c r="AD110" s="2">
        <v>452</v>
      </c>
      <c r="AE110" s="2">
        <v>333</v>
      </c>
      <c r="AF110" s="25">
        <f t="shared" si="60"/>
        <v>0.49775784753363228</v>
      </c>
      <c r="AG110" s="2">
        <f t="shared" si="61"/>
        <v>-119</v>
      </c>
      <c r="AH110" s="2">
        <v>84</v>
      </c>
      <c r="AI110" s="2">
        <v>84</v>
      </c>
      <c r="AJ110" s="2">
        <v>87</v>
      </c>
      <c r="AK110" s="25">
        <f t="shared" si="63"/>
        <v>1.0357142857142858</v>
      </c>
      <c r="AL110" s="2"/>
      <c r="AM110" s="2"/>
      <c r="AN110" s="2"/>
      <c r="AO110" s="2"/>
      <c r="AP110" s="25" t="e">
        <f t="shared" si="64"/>
        <v>#DIV/0!</v>
      </c>
      <c r="AQ110" s="2"/>
      <c r="AR110" s="2">
        <v>3013</v>
      </c>
      <c r="AS110" s="2">
        <v>41</v>
      </c>
      <c r="AT110" s="2">
        <v>17</v>
      </c>
      <c r="AU110" s="25">
        <f t="shared" si="65"/>
        <v>5.6422170594092264E-3</v>
      </c>
      <c r="AV110" s="2">
        <f t="shared" si="62"/>
        <v>-24</v>
      </c>
      <c r="AW110" s="2">
        <v>14628</v>
      </c>
      <c r="AX110" s="2">
        <v>496</v>
      </c>
      <c r="AY110" s="2">
        <v>490</v>
      </c>
      <c r="AZ110" s="25">
        <f t="shared" si="66"/>
        <v>3.3497402242275091E-2</v>
      </c>
      <c r="BA110" s="2"/>
      <c r="BB110" s="2">
        <f t="shared" si="67"/>
        <v>38913</v>
      </c>
      <c r="BC110" s="2">
        <f t="shared" si="68"/>
        <v>3791</v>
      </c>
      <c r="BD110" s="2">
        <f t="shared" si="69"/>
        <v>3703</v>
      </c>
      <c r="BE110" s="25">
        <f t="shared" si="70"/>
        <v>9.5161000179888475E-2</v>
      </c>
      <c r="BF110" s="2"/>
    </row>
    <row r="111" spans="1:58" x14ac:dyDescent="0.35">
      <c r="A111" s="6">
        <v>553948</v>
      </c>
      <c r="B111" s="6" t="s">
        <v>92</v>
      </c>
      <c r="C111" s="6" t="s">
        <v>122</v>
      </c>
      <c r="D111" s="6">
        <v>4153</v>
      </c>
      <c r="E111" s="6">
        <v>479</v>
      </c>
      <c r="F111" s="6">
        <v>259</v>
      </c>
      <c r="G111" s="14">
        <f t="shared" si="50"/>
        <v>6.2364555742836503E-2</v>
      </c>
      <c r="H111" s="6">
        <f t="shared" si="51"/>
        <v>-220</v>
      </c>
      <c r="I111" s="6">
        <v>12536</v>
      </c>
      <c r="J111" s="6">
        <v>299</v>
      </c>
      <c r="K111" s="6">
        <v>132</v>
      </c>
      <c r="L111" s="14">
        <f t="shared" si="71"/>
        <v>1.0529674537332482E-2</v>
      </c>
      <c r="M111" s="6">
        <f t="shared" si="53"/>
        <v>-167</v>
      </c>
      <c r="N111" s="6">
        <v>11430</v>
      </c>
      <c r="O111" s="6">
        <v>434</v>
      </c>
      <c r="P111" s="6">
        <v>175</v>
      </c>
      <c r="Q111" s="14">
        <f t="shared" si="54"/>
        <v>1.5310586176727909E-2</v>
      </c>
      <c r="R111" s="6">
        <f t="shared" si="55"/>
        <v>-259</v>
      </c>
      <c r="S111" s="6">
        <v>8194</v>
      </c>
      <c r="T111" s="6">
        <v>138</v>
      </c>
      <c r="U111" s="6">
        <v>353</v>
      </c>
      <c r="V111" s="14">
        <f t="shared" si="56"/>
        <v>4.308030266048328E-2</v>
      </c>
      <c r="W111" s="6">
        <f t="shared" si="57"/>
        <v>215</v>
      </c>
      <c r="X111" s="2">
        <v>5824</v>
      </c>
      <c r="Y111" s="2">
        <v>1035</v>
      </c>
      <c r="Z111" s="2">
        <v>1002</v>
      </c>
      <c r="AA111" s="25">
        <f t="shared" si="58"/>
        <v>0.1720467032967033</v>
      </c>
      <c r="AB111" s="2">
        <f t="shared" si="59"/>
        <v>-33</v>
      </c>
      <c r="AC111" s="2">
        <v>5802</v>
      </c>
      <c r="AD111" s="2">
        <v>261</v>
      </c>
      <c r="AE111" s="2">
        <v>380</v>
      </c>
      <c r="AF111" s="25">
        <f t="shared" si="60"/>
        <v>6.5494657014822474E-2</v>
      </c>
      <c r="AG111" s="2">
        <f t="shared" si="61"/>
        <v>119</v>
      </c>
      <c r="AH111" s="2">
        <v>31152</v>
      </c>
      <c r="AI111" s="2">
        <v>11399</v>
      </c>
      <c r="AJ111" s="2">
        <v>10807</v>
      </c>
      <c r="AK111" s="25">
        <f t="shared" si="63"/>
        <v>0.34691191576784797</v>
      </c>
      <c r="AL111" s="2"/>
      <c r="AM111" s="2">
        <v>33386</v>
      </c>
      <c r="AN111" s="2">
        <v>4043</v>
      </c>
      <c r="AO111" s="2">
        <v>4779</v>
      </c>
      <c r="AP111" s="25">
        <f t="shared" si="64"/>
        <v>0.14314383274426407</v>
      </c>
      <c r="AQ111" s="2"/>
      <c r="AR111" s="2">
        <v>18759</v>
      </c>
      <c r="AS111" s="2">
        <v>5749</v>
      </c>
      <c r="AT111" s="2">
        <v>4498</v>
      </c>
      <c r="AU111" s="25">
        <f t="shared" si="65"/>
        <v>0.23977823977823978</v>
      </c>
      <c r="AV111" s="2">
        <f t="shared" si="62"/>
        <v>-1251</v>
      </c>
      <c r="AW111" s="2">
        <v>11448</v>
      </c>
      <c r="AX111" s="2">
        <v>5071</v>
      </c>
      <c r="AY111" s="2">
        <v>4888</v>
      </c>
      <c r="AZ111" s="25">
        <f t="shared" si="66"/>
        <v>0.42697414395527605</v>
      </c>
      <c r="BA111" s="2"/>
      <c r="BB111" s="2">
        <f t="shared" si="67"/>
        <v>142684</v>
      </c>
      <c r="BC111" s="2">
        <f t="shared" si="68"/>
        <v>28908</v>
      </c>
      <c r="BD111" s="2">
        <f t="shared" si="69"/>
        <v>27273</v>
      </c>
      <c r="BE111" s="25">
        <f t="shared" si="70"/>
        <v>0.19114266490987075</v>
      </c>
      <c r="BF111" s="2"/>
    </row>
    <row r="112" spans="1:58" x14ac:dyDescent="0.35">
      <c r="A112" s="6">
        <v>427346</v>
      </c>
      <c r="B112" s="6" t="s">
        <v>94</v>
      </c>
      <c r="C112" s="6" t="s">
        <v>122</v>
      </c>
      <c r="D112" s="6">
        <v>3233</v>
      </c>
      <c r="E112" s="6">
        <v>144</v>
      </c>
      <c r="F112" s="6">
        <v>144</v>
      </c>
      <c r="G112" s="14">
        <f t="shared" si="50"/>
        <v>4.4540674296319208E-2</v>
      </c>
      <c r="H112" s="6">
        <f t="shared" si="51"/>
        <v>0</v>
      </c>
      <c r="I112" s="6">
        <v>2</v>
      </c>
      <c r="J112" s="6">
        <v>2</v>
      </c>
      <c r="K112" s="6">
        <v>2</v>
      </c>
      <c r="L112" s="14">
        <f t="shared" si="71"/>
        <v>1</v>
      </c>
      <c r="M112" s="6">
        <f t="shared" si="53"/>
        <v>0</v>
      </c>
      <c r="N112" s="6">
        <v>0</v>
      </c>
      <c r="O112" s="6">
        <v>0</v>
      </c>
      <c r="P112" s="6">
        <v>0</v>
      </c>
      <c r="Q112" s="14" t="e">
        <f t="shared" si="54"/>
        <v>#DIV/0!</v>
      </c>
      <c r="R112" s="6">
        <f t="shared" si="55"/>
        <v>0</v>
      </c>
      <c r="S112" s="6">
        <v>0</v>
      </c>
      <c r="T112" s="6">
        <v>0</v>
      </c>
      <c r="U112" s="6">
        <v>0</v>
      </c>
      <c r="V112" s="14" t="e">
        <f t="shared" si="56"/>
        <v>#DIV/0!</v>
      </c>
      <c r="W112" s="6">
        <f t="shared" si="57"/>
        <v>0</v>
      </c>
      <c r="X112" s="2"/>
      <c r="Y112" s="2"/>
      <c r="Z112" s="2"/>
      <c r="AA112" s="25" t="e">
        <f t="shared" si="58"/>
        <v>#DIV/0!</v>
      </c>
      <c r="AB112" s="2">
        <f t="shared" si="59"/>
        <v>0</v>
      </c>
      <c r="AC112" s="2">
        <v>15351</v>
      </c>
      <c r="AD112" s="2">
        <v>567</v>
      </c>
      <c r="AE112" s="2">
        <v>550</v>
      </c>
      <c r="AF112" s="25">
        <f t="shared" si="60"/>
        <v>3.5828284802293012E-2</v>
      </c>
      <c r="AG112" s="2">
        <f t="shared" si="61"/>
        <v>-17</v>
      </c>
      <c r="AH112" s="2">
        <v>3852</v>
      </c>
      <c r="AI112" s="2">
        <v>1055</v>
      </c>
      <c r="AJ112" s="2">
        <v>1040</v>
      </c>
      <c r="AK112" s="25">
        <f t="shared" si="63"/>
        <v>0.26998961578400832</v>
      </c>
      <c r="AL112" s="2"/>
      <c r="AM112" s="2"/>
      <c r="AN112" s="2"/>
      <c r="AO112" s="2"/>
      <c r="AP112" s="25" t="e">
        <f t="shared" si="64"/>
        <v>#DIV/0!</v>
      </c>
      <c r="AQ112" s="2"/>
      <c r="AR112" s="2">
        <v>3192</v>
      </c>
      <c r="AS112" s="2">
        <v>0</v>
      </c>
      <c r="AT112" s="2"/>
      <c r="AU112" s="25">
        <f t="shared" si="65"/>
        <v>0</v>
      </c>
      <c r="AV112" s="2">
        <f t="shared" si="62"/>
        <v>0</v>
      </c>
      <c r="AW112" s="2">
        <v>12</v>
      </c>
      <c r="AX112" s="2">
        <v>12</v>
      </c>
      <c r="AY112" s="2">
        <v>12</v>
      </c>
      <c r="AZ112" s="25">
        <f t="shared" si="66"/>
        <v>1</v>
      </c>
      <c r="BA112" s="2"/>
      <c r="BB112" s="2">
        <f t="shared" si="67"/>
        <v>25642</v>
      </c>
      <c r="BC112" s="2">
        <f t="shared" si="68"/>
        <v>1780</v>
      </c>
      <c r="BD112" s="2">
        <f t="shared" si="69"/>
        <v>1748</v>
      </c>
      <c r="BE112" s="25">
        <f t="shared" si="70"/>
        <v>6.8169409562436625E-2</v>
      </c>
      <c r="BF112" s="2"/>
    </row>
    <row r="113" spans="1:58" x14ac:dyDescent="0.35">
      <c r="A113" s="6">
        <v>528992</v>
      </c>
      <c r="B113" s="6" t="s">
        <v>95</v>
      </c>
      <c r="C113" s="6" t="s">
        <v>122</v>
      </c>
      <c r="D113" s="6">
        <v>12407</v>
      </c>
      <c r="E113" s="6">
        <v>462</v>
      </c>
      <c r="F113" s="6">
        <v>12</v>
      </c>
      <c r="G113" s="14">
        <f t="shared" si="50"/>
        <v>9.6719593777706131E-4</v>
      </c>
      <c r="H113" s="6">
        <f t="shared" si="51"/>
        <v>-450</v>
      </c>
      <c r="I113" s="6">
        <v>9749</v>
      </c>
      <c r="J113" s="6">
        <v>174</v>
      </c>
      <c r="K113" s="6">
        <v>1</v>
      </c>
      <c r="L113" s="14">
        <f t="shared" si="71"/>
        <v>1.0257462303826033E-4</v>
      </c>
      <c r="M113" s="6">
        <f t="shared" si="53"/>
        <v>-173</v>
      </c>
      <c r="N113" s="6">
        <v>8289</v>
      </c>
      <c r="O113" s="6">
        <v>582</v>
      </c>
      <c r="P113" s="6">
        <v>18</v>
      </c>
      <c r="Q113" s="14">
        <f t="shared" si="54"/>
        <v>2.1715526601520088E-3</v>
      </c>
      <c r="R113" s="6">
        <f t="shared" si="55"/>
        <v>-564</v>
      </c>
      <c r="S113" s="6">
        <v>2712</v>
      </c>
      <c r="T113" s="6">
        <v>60</v>
      </c>
      <c r="U113" s="6">
        <v>0</v>
      </c>
      <c r="V113" s="14">
        <f t="shared" si="56"/>
        <v>0</v>
      </c>
      <c r="W113" s="6">
        <f t="shared" si="57"/>
        <v>-60</v>
      </c>
      <c r="X113" s="2">
        <v>5585</v>
      </c>
      <c r="Y113" s="2">
        <v>295</v>
      </c>
      <c r="Z113" s="2">
        <v>294</v>
      </c>
      <c r="AA113" s="25">
        <f t="shared" si="58"/>
        <v>5.2641002685765444E-2</v>
      </c>
      <c r="AB113" s="2">
        <f t="shared" si="59"/>
        <v>-1</v>
      </c>
      <c r="AC113" s="2">
        <v>1925</v>
      </c>
      <c r="AD113" s="2">
        <v>33</v>
      </c>
      <c r="AE113" s="2">
        <v>2</v>
      </c>
      <c r="AF113" s="25">
        <f t="shared" si="60"/>
        <v>1.038961038961039E-3</v>
      </c>
      <c r="AG113" s="2">
        <f t="shared" si="61"/>
        <v>-31</v>
      </c>
      <c r="AH113" s="2">
        <v>543</v>
      </c>
      <c r="AI113" s="2">
        <v>145</v>
      </c>
      <c r="AJ113" s="2">
        <v>8</v>
      </c>
      <c r="AK113" s="25">
        <f t="shared" si="63"/>
        <v>1.4732965009208104E-2</v>
      </c>
      <c r="AL113" s="2"/>
      <c r="AM113" s="2"/>
      <c r="AN113" s="2"/>
      <c r="AO113" s="2"/>
      <c r="AP113" s="25" t="e">
        <f t="shared" si="64"/>
        <v>#DIV/0!</v>
      </c>
      <c r="AQ113" s="2"/>
      <c r="AR113" s="2">
        <v>6701</v>
      </c>
      <c r="AS113" s="2">
        <v>232</v>
      </c>
      <c r="AT113" s="2">
        <v>130</v>
      </c>
      <c r="AU113" s="25">
        <f t="shared" si="65"/>
        <v>1.9400089538874794E-2</v>
      </c>
      <c r="AV113" s="2">
        <f t="shared" si="62"/>
        <v>-102</v>
      </c>
      <c r="AW113" s="2">
        <v>2209</v>
      </c>
      <c r="AX113" s="2">
        <v>159</v>
      </c>
      <c r="AY113" s="2">
        <v>152</v>
      </c>
      <c r="AZ113" s="25">
        <f t="shared" si="66"/>
        <v>6.8809416025350831E-2</v>
      </c>
      <c r="BA113" s="2"/>
      <c r="BB113" s="2">
        <f t="shared" si="67"/>
        <v>50120</v>
      </c>
      <c r="BC113" s="2">
        <f t="shared" si="68"/>
        <v>2142</v>
      </c>
      <c r="BD113" s="2">
        <f t="shared" si="69"/>
        <v>617</v>
      </c>
      <c r="BE113" s="25">
        <f t="shared" si="70"/>
        <v>1.2310454908220272E-2</v>
      </c>
      <c r="BF113" s="2"/>
    </row>
    <row r="114" spans="1:58" x14ac:dyDescent="0.35">
      <c r="A114" s="6">
        <v>395321</v>
      </c>
      <c r="B114" s="6" t="s">
        <v>98</v>
      </c>
      <c r="C114" s="6" t="s">
        <v>122</v>
      </c>
      <c r="D114" s="6">
        <v>0</v>
      </c>
      <c r="E114" s="6">
        <v>0</v>
      </c>
      <c r="F114" s="6">
        <v>0</v>
      </c>
      <c r="G114" s="14">
        <v>0</v>
      </c>
      <c r="H114" s="6">
        <f t="shared" si="51"/>
        <v>0</v>
      </c>
      <c r="I114" s="6">
        <v>3999</v>
      </c>
      <c r="J114" s="6">
        <v>232</v>
      </c>
      <c r="K114" s="6">
        <v>231</v>
      </c>
      <c r="L114" s="14">
        <f t="shared" si="71"/>
        <v>5.7764441110277572E-2</v>
      </c>
      <c r="M114" s="6">
        <f t="shared" si="53"/>
        <v>-1</v>
      </c>
      <c r="N114" s="6">
        <v>2</v>
      </c>
      <c r="O114" s="6">
        <v>2</v>
      </c>
      <c r="P114" s="6">
        <v>1</v>
      </c>
      <c r="Q114" s="14">
        <f t="shared" si="54"/>
        <v>0.5</v>
      </c>
      <c r="R114" s="6">
        <f t="shared" si="55"/>
        <v>-1</v>
      </c>
      <c r="S114" s="6">
        <v>0</v>
      </c>
      <c r="T114" s="6">
        <v>0</v>
      </c>
      <c r="U114" s="6">
        <v>0</v>
      </c>
      <c r="V114" s="14" t="e">
        <f t="shared" si="56"/>
        <v>#DIV/0!</v>
      </c>
      <c r="W114" s="6">
        <f t="shared" si="57"/>
        <v>0</v>
      </c>
      <c r="X114" s="2"/>
      <c r="Y114" s="2"/>
      <c r="Z114" s="2"/>
      <c r="AA114" s="25" t="e">
        <f t="shared" si="58"/>
        <v>#DIV/0!</v>
      </c>
      <c r="AB114" s="2">
        <f t="shared" si="59"/>
        <v>0</v>
      </c>
      <c r="AC114" s="2">
        <v>4754</v>
      </c>
      <c r="AD114" s="2">
        <v>669</v>
      </c>
      <c r="AE114" s="2">
        <v>302</v>
      </c>
      <c r="AF114" s="25">
        <f t="shared" si="60"/>
        <v>6.352545225073622E-2</v>
      </c>
      <c r="AG114" s="2">
        <f t="shared" si="61"/>
        <v>-367</v>
      </c>
      <c r="AH114" s="2">
        <v>20</v>
      </c>
      <c r="AI114" s="2">
        <v>9</v>
      </c>
      <c r="AJ114" s="2"/>
      <c r="AK114" s="25">
        <f t="shared" si="63"/>
        <v>0</v>
      </c>
      <c r="AL114" s="2"/>
      <c r="AM114" s="2"/>
      <c r="AN114" s="2"/>
      <c r="AO114" s="2"/>
      <c r="AP114" s="25" t="e">
        <f t="shared" si="64"/>
        <v>#DIV/0!</v>
      </c>
      <c r="AQ114" s="2"/>
      <c r="AR114" s="2"/>
      <c r="AS114" s="2"/>
      <c r="AT114" s="2">
        <v>2</v>
      </c>
      <c r="AU114" s="25" t="e">
        <f t="shared" si="65"/>
        <v>#DIV/0!</v>
      </c>
      <c r="AV114" s="2">
        <f t="shared" si="62"/>
        <v>2</v>
      </c>
      <c r="AW114" s="2">
        <v>19</v>
      </c>
      <c r="AX114" s="2">
        <v>3</v>
      </c>
      <c r="AY114" s="2"/>
      <c r="AZ114" s="25">
        <f t="shared" si="66"/>
        <v>0</v>
      </c>
      <c r="BA114" s="2"/>
      <c r="BB114" s="2">
        <f t="shared" si="67"/>
        <v>8794</v>
      </c>
      <c r="BC114" s="2">
        <f t="shared" si="68"/>
        <v>915</v>
      </c>
      <c r="BD114" s="2">
        <f t="shared" si="69"/>
        <v>536</v>
      </c>
      <c r="BE114" s="25">
        <f t="shared" si="70"/>
        <v>6.0950648169206277E-2</v>
      </c>
      <c r="BF114" s="2"/>
    </row>
    <row r="115" spans="1:58" x14ac:dyDescent="0.35">
      <c r="A115" s="6">
        <v>422027</v>
      </c>
      <c r="B115" s="6" t="s">
        <v>99</v>
      </c>
      <c r="C115" s="6" t="s">
        <v>122</v>
      </c>
      <c r="D115" s="6">
        <v>0</v>
      </c>
      <c r="E115" s="6">
        <v>0</v>
      </c>
      <c r="F115" s="6">
        <v>0</v>
      </c>
      <c r="G115" s="14">
        <v>0</v>
      </c>
      <c r="H115" s="6">
        <f t="shared" si="51"/>
        <v>0</v>
      </c>
      <c r="I115" s="6">
        <v>1106</v>
      </c>
      <c r="J115" s="6">
        <v>18</v>
      </c>
      <c r="K115" s="6">
        <v>16</v>
      </c>
      <c r="L115" s="14">
        <f t="shared" si="71"/>
        <v>1.4466546112115732E-2</v>
      </c>
      <c r="M115" s="6">
        <f t="shared" si="53"/>
        <v>-2</v>
      </c>
      <c r="N115" s="6">
        <v>0</v>
      </c>
      <c r="O115" s="6">
        <v>0</v>
      </c>
      <c r="P115" s="6">
        <v>0</v>
      </c>
      <c r="Q115" s="14" t="e">
        <f t="shared" si="54"/>
        <v>#DIV/0!</v>
      </c>
      <c r="R115" s="6">
        <f t="shared" si="55"/>
        <v>0</v>
      </c>
      <c r="S115" s="6">
        <v>0</v>
      </c>
      <c r="T115" s="6">
        <v>0</v>
      </c>
      <c r="U115" s="6">
        <v>0</v>
      </c>
      <c r="V115" s="14" t="e">
        <f t="shared" si="56"/>
        <v>#DIV/0!</v>
      </c>
      <c r="W115" s="6">
        <f t="shared" si="57"/>
        <v>0</v>
      </c>
      <c r="X115" s="2">
        <v>227</v>
      </c>
      <c r="Y115" s="2">
        <v>176</v>
      </c>
      <c r="Z115" s="2">
        <v>64</v>
      </c>
      <c r="AA115" s="25">
        <f t="shared" si="58"/>
        <v>0.28193832599118945</v>
      </c>
      <c r="AB115" s="2">
        <f t="shared" si="59"/>
        <v>-112</v>
      </c>
      <c r="AC115" s="2"/>
      <c r="AD115" s="2"/>
      <c r="AE115" s="2"/>
      <c r="AF115" s="25" t="e">
        <f t="shared" si="60"/>
        <v>#DIV/0!</v>
      </c>
      <c r="AG115" s="2">
        <f t="shared" si="61"/>
        <v>0</v>
      </c>
      <c r="AH115" s="2"/>
      <c r="AI115" s="2"/>
      <c r="AJ115" s="2"/>
      <c r="AK115" s="25" t="e">
        <f t="shared" si="63"/>
        <v>#DIV/0!</v>
      </c>
      <c r="AL115" s="2"/>
      <c r="AM115" s="2"/>
      <c r="AN115" s="2"/>
      <c r="AO115" s="2"/>
      <c r="AP115" s="25" t="e">
        <f t="shared" si="64"/>
        <v>#DIV/0!</v>
      </c>
      <c r="AQ115" s="2"/>
      <c r="AR115" s="2"/>
      <c r="AS115" s="2"/>
      <c r="AT115" s="2"/>
      <c r="AU115" s="25" t="e">
        <f t="shared" si="65"/>
        <v>#DIV/0!</v>
      </c>
      <c r="AV115" s="2">
        <f t="shared" si="62"/>
        <v>0</v>
      </c>
      <c r="AW115" s="2"/>
      <c r="AX115" s="2"/>
      <c r="AY115" s="2"/>
      <c r="AZ115" s="25" t="e">
        <f t="shared" si="66"/>
        <v>#DIV/0!</v>
      </c>
      <c r="BA115" s="2"/>
      <c r="BB115" s="2">
        <f t="shared" si="67"/>
        <v>1333</v>
      </c>
      <c r="BC115" s="2">
        <f t="shared" si="68"/>
        <v>194</v>
      </c>
      <c r="BD115" s="2">
        <f t="shared" si="69"/>
        <v>80</v>
      </c>
      <c r="BE115" s="25">
        <f t="shared" si="70"/>
        <v>6.0015003750937733E-2</v>
      </c>
      <c r="BF115" s="2"/>
    </row>
    <row r="116" spans="1:58" x14ac:dyDescent="0.35">
      <c r="A116" s="6">
        <v>523737</v>
      </c>
      <c r="B116" s="6" t="s">
        <v>100</v>
      </c>
      <c r="C116" s="6" t="s">
        <v>122</v>
      </c>
      <c r="D116" s="6">
        <v>0</v>
      </c>
      <c r="E116" s="6">
        <v>0</v>
      </c>
      <c r="F116" s="6">
        <v>0</v>
      </c>
      <c r="G116" s="14">
        <v>0</v>
      </c>
      <c r="H116" s="6">
        <f t="shared" si="51"/>
        <v>0</v>
      </c>
      <c r="I116" s="6">
        <v>192</v>
      </c>
      <c r="J116" s="6">
        <v>27</v>
      </c>
      <c r="K116" s="6">
        <v>27</v>
      </c>
      <c r="L116" s="14">
        <f t="shared" si="71"/>
        <v>0.140625</v>
      </c>
      <c r="M116" s="6">
        <f t="shared" si="53"/>
        <v>0</v>
      </c>
      <c r="N116" s="6">
        <v>0</v>
      </c>
      <c r="O116" s="6">
        <v>0</v>
      </c>
      <c r="P116" s="6">
        <v>0</v>
      </c>
      <c r="Q116" s="14" t="e">
        <f t="shared" si="54"/>
        <v>#DIV/0!</v>
      </c>
      <c r="R116" s="6">
        <f t="shared" si="55"/>
        <v>0</v>
      </c>
      <c r="S116" s="6">
        <v>0</v>
      </c>
      <c r="T116" s="6">
        <v>0</v>
      </c>
      <c r="U116" s="6">
        <v>0</v>
      </c>
      <c r="V116" s="14" t="e">
        <f t="shared" si="56"/>
        <v>#DIV/0!</v>
      </c>
      <c r="W116" s="6">
        <f t="shared" si="57"/>
        <v>0</v>
      </c>
      <c r="X116" s="2"/>
      <c r="Y116" s="2"/>
      <c r="Z116" s="2"/>
      <c r="AA116" s="25" t="e">
        <f t="shared" si="58"/>
        <v>#DIV/0!</v>
      </c>
      <c r="AB116" s="2">
        <f t="shared" si="59"/>
        <v>0</v>
      </c>
      <c r="AC116" s="2"/>
      <c r="AD116" s="2"/>
      <c r="AE116" s="2"/>
      <c r="AF116" s="25" t="e">
        <f t="shared" si="60"/>
        <v>#DIV/0!</v>
      </c>
      <c r="AG116" s="2">
        <f t="shared" si="61"/>
        <v>0</v>
      </c>
      <c r="AH116" s="2">
        <v>17524</v>
      </c>
      <c r="AI116" s="2">
        <v>606</v>
      </c>
      <c r="AJ116" s="2">
        <v>352</v>
      </c>
      <c r="AK116" s="25">
        <f t="shared" si="63"/>
        <v>2.0086738187628395E-2</v>
      </c>
      <c r="AL116" s="2"/>
      <c r="AM116" s="2">
        <v>34982</v>
      </c>
      <c r="AN116" s="2">
        <v>67</v>
      </c>
      <c r="AO116" s="2">
        <v>14</v>
      </c>
      <c r="AP116" s="25">
        <f t="shared" si="64"/>
        <v>4.0020582013607E-4</v>
      </c>
      <c r="AQ116" s="2"/>
      <c r="AR116" s="2"/>
      <c r="AS116" s="2"/>
      <c r="AT116" s="2"/>
      <c r="AU116" s="25" t="e">
        <f t="shared" si="65"/>
        <v>#DIV/0!</v>
      </c>
      <c r="AV116" s="2">
        <f t="shared" si="62"/>
        <v>0</v>
      </c>
      <c r="AW116" s="2"/>
      <c r="AX116" s="2"/>
      <c r="AY116" s="2"/>
      <c r="AZ116" s="25" t="e">
        <f t="shared" si="66"/>
        <v>#DIV/0!</v>
      </c>
      <c r="BA116" s="2"/>
      <c r="BB116" s="2">
        <f t="shared" si="67"/>
        <v>52698</v>
      </c>
      <c r="BC116" s="2">
        <f t="shared" si="68"/>
        <v>700</v>
      </c>
      <c r="BD116" s="2">
        <f t="shared" si="69"/>
        <v>393</v>
      </c>
      <c r="BE116" s="25">
        <f t="shared" si="70"/>
        <v>7.4575885232836163E-3</v>
      </c>
      <c r="BF116" s="2"/>
    </row>
    <row r="117" spans="1:58" x14ac:dyDescent="0.35">
      <c r="A117" s="6">
        <v>587210</v>
      </c>
      <c r="B117" s="6" t="s">
        <v>101</v>
      </c>
      <c r="C117" s="6" t="s">
        <v>122</v>
      </c>
      <c r="D117" s="6">
        <v>0</v>
      </c>
      <c r="E117" s="6">
        <v>0</v>
      </c>
      <c r="F117" s="6">
        <v>0</v>
      </c>
      <c r="G117" s="14">
        <v>0</v>
      </c>
      <c r="H117" s="6">
        <f t="shared" si="51"/>
        <v>0</v>
      </c>
      <c r="I117" s="6">
        <v>6</v>
      </c>
      <c r="J117" s="6">
        <v>6</v>
      </c>
      <c r="K117" s="6">
        <v>6</v>
      </c>
      <c r="L117" s="14">
        <f t="shared" si="71"/>
        <v>1</v>
      </c>
      <c r="M117" s="6">
        <f t="shared" si="53"/>
        <v>0</v>
      </c>
      <c r="N117" s="6">
        <v>0</v>
      </c>
      <c r="O117" s="6">
        <v>0</v>
      </c>
      <c r="P117" s="6">
        <v>0</v>
      </c>
      <c r="Q117" s="14" t="e">
        <f t="shared" si="54"/>
        <v>#DIV/0!</v>
      </c>
      <c r="R117" s="6">
        <f t="shared" si="55"/>
        <v>0</v>
      </c>
      <c r="S117" s="6">
        <v>25</v>
      </c>
      <c r="T117" s="6">
        <v>25</v>
      </c>
      <c r="U117" s="6">
        <v>0</v>
      </c>
      <c r="V117" s="14">
        <f t="shared" si="56"/>
        <v>0</v>
      </c>
      <c r="W117" s="6">
        <f t="shared" si="57"/>
        <v>-25</v>
      </c>
      <c r="X117" s="2"/>
      <c r="Y117" s="2"/>
      <c r="Z117" s="2"/>
      <c r="AA117" s="25" t="e">
        <f t="shared" si="58"/>
        <v>#DIV/0!</v>
      </c>
      <c r="AB117" s="2">
        <f t="shared" si="59"/>
        <v>0</v>
      </c>
      <c r="AC117" s="2"/>
      <c r="AD117" s="2"/>
      <c r="AE117" s="2"/>
      <c r="AF117" s="25" t="e">
        <f t="shared" si="60"/>
        <v>#DIV/0!</v>
      </c>
      <c r="AG117" s="2">
        <f t="shared" si="61"/>
        <v>0</v>
      </c>
      <c r="AH117" s="2"/>
      <c r="AI117" s="2"/>
      <c r="AJ117" s="2"/>
      <c r="AK117" s="25" t="e">
        <f t="shared" si="63"/>
        <v>#DIV/0!</v>
      </c>
      <c r="AL117" s="2"/>
      <c r="AM117" s="2">
        <v>19</v>
      </c>
      <c r="AN117" s="2">
        <v>19</v>
      </c>
      <c r="AO117" s="2">
        <v>36</v>
      </c>
      <c r="AP117" s="25">
        <f t="shared" si="64"/>
        <v>1.8947368421052631</v>
      </c>
      <c r="AQ117" s="2"/>
      <c r="AR117" s="2">
        <v>7</v>
      </c>
      <c r="AS117" s="2">
        <v>7</v>
      </c>
      <c r="AT117" s="2">
        <v>5</v>
      </c>
      <c r="AU117" s="25">
        <f t="shared" si="65"/>
        <v>0.7142857142857143</v>
      </c>
      <c r="AV117" s="2">
        <f t="shared" si="62"/>
        <v>-2</v>
      </c>
      <c r="AW117" s="2">
        <v>43</v>
      </c>
      <c r="AX117" s="2">
        <v>14</v>
      </c>
      <c r="AY117" s="2"/>
      <c r="AZ117" s="25">
        <f t="shared" si="66"/>
        <v>0</v>
      </c>
      <c r="BA117" s="2"/>
      <c r="BB117" s="2">
        <f t="shared" si="67"/>
        <v>100</v>
      </c>
      <c r="BC117" s="2">
        <f t="shared" si="68"/>
        <v>71</v>
      </c>
      <c r="BD117" s="2">
        <f t="shared" si="69"/>
        <v>47</v>
      </c>
      <c r="BE117" s="25">
        <f t="shared" si="70"/>
        <v>0.47</v>
      </c>
      <c r="BF117" s="2"/>
    </row>
    <row r="118" spans="1:58" x14ac:dyDescent="0.35">
      <c r="A118" s="6">
        <v>587216</v>
      </c>
      <c r="B118" s="6" t="s">
        <v>102</v>
      </c>
      <c r="C118" s="6" t="s">
        <v>122</v>
      </c>
      <c r="D118" s="6">
        <v>0</v>
      </c>
      <c r="E118" s="6">
        <v>0</v>
      </c>
      <c r="F118" s="6">
        <v>0</v>
      </c>
      <c r="G118" s="14">
        <v>0</v>
      </c>
      <c r="H118" s="6">
        <f t="shared" si="51"/>
        <v>0</v>
      </c>
      <c r="I118" s="6">
        <v>10499</v>
      </c>
      <c r="J118" s="6">
        <v>161</v>
      </c>
      <c r="K118" s="6">
        <v>88</v>
      </c>
      <c r="L118" s="14">
        <f t="shared" si="71"/>
        <v>8.3817506429183734E-3</v>
      </c>
      <c r="M118" s="6">
        <f t="shared" si="53"/>
        <v>-73</v>
      </c>
      <c r="N118" s="6">
        <v>0</v>
      </c>
      <c r="O118" s="6">
        <v>0</v>
      </c>
      <c r="P118" s="6">
        <v>0</v>
      </c>
      <c r="Q118" s="14" t="e">
        <f t="shared" si="54"/>
        <v>#DIV/0!</v>
      </c>
      <c r="R118" s="6">
        <f t="shared" si="55"/>
        <v>0</v>
      </c>
      <c r="S118" s="6">
        <v>0</v>
      </c>
      <c r="T118" s="6">
        <v>0</v>
      </c>
      <c r="U118" s="6">
        <v>0</v>
      </c>
      <c r="V118" s="14" t="e">
        <f t="shared" si="56"/>
        <v>#DIV/0!</v>
      </c>
      <c r="W118" s="6">
        <f t="shared" si="57"/>
        <v>0</v>
      </c>
      <c r="X118" s="2"/>
      <c r="Y118" s="2"/>
      <c r="Z118" s="2"/>
      <c r="AA118" s="25" t="e">
        <f t="shared" si="58"/>
        <v>#DIV/0!</v>
      </c>
      <c r="AB118" s="2">
        <f t="shared" si="59"/>
        <v>0</v>
      </c>
      <c r="AC118" s="2"/>
      <c r="AD118" s="2"/>
      <c r="AE118" s="2"/>
      <c r="AF118" s="25" t="e">
        <f t="shared" si="60"/>
        <v>#DIV/0!</v>
      </c>
      <c r="AG118" s="2">
        <f t="shared" si="61"/>
        <v>0</v>
      </c>
      <c r="AH118" s="2"/>
      <c r="AI118" s="2"/>
      <c r="AJ118" s="2"/>
      <c r="AK118" s="25" t="e">
        <f t="shared" si="63"/>
        <v>#DIV/0!</v>
      </c>
      <c r="AL118" s="2"/>
      <c r="AM118" s="2"/>
      <c r="AN118" s="2"/>
      <c r="AO118" s="2"/>
      <c r="AP118" s="25" t="e">
        <f t="shared" si="64"/>
        <v>#DIV/0!</v>
      </c>
      <c r="AQ118" s="2"/>
      <c r="AR118" s="2"/>
      <c r="AS118" s="2"/>
      <c r="AT118" s="2"/>
      <c r="AU118" s="25" t="e">
        <f t="shared" si="65"/>
        <v>#DIV/0!</v>
      </c>
      <c r="AV118" s="2">
        <f t="shared" si="62"/>
        <v>0</v>
      </c>
      <c r="AW118" s="2">
        <v>9</v>
      </c>
      <c r="AX118" s="2">
        <v>9</v>
      </c>
      <c r="AY118" s="2">
        <v>9</v>
      </c>
      <c r="AZ118" s="25">
        <f t="shared" si="66"/>
        <v>1</v>
      </c>
      <c r="BA118" s="2"/>
      <c r="BB118" s="2">
        <f t="shared" si="67"/>
        <v>10508</v>
      </c>
      <c r="BC118" s="2">
        <f t="shared" si="68"/>
        <v>170</v>
      </c>
      <c r="BD118" s="2">
        <f t="shared" si="69"/>
        <v>97</v>
      </c>
      <c r="BE118" s="25">
        <f t="shared" si="70"/>
        <v>9.2310620479634561E-3</v>
      </c>
      <c r="BF118" s="2"/>
    </row>
    <row r="119" spans="1:58" x14ac:dyDescent="0.35">
      <c r="A119" s="6">
        <v>423761</v>
      </c>
      <c r="B119" s="6" t="s">
        <v>106</v>
      </c>
      <c r="C119" s="6" t="s">
        <v>122</v>
      </c>
      <c r="D119" s="6"/>
      <c r="E119" s="6"/>
      <c r="F119" s="6"/>
      <c r="G119" s="14"/>
      <c r="H119" s="6"/>
      <c r="I119" s="6"/>
      <c r="J119" s="6"/>
      <c r="K119" s="6"/>
      <c r="L119" s="14"/>
      <c r="M119" s="6"/>
      <c r="N119" s="6">
        <v>248</v>
      </c>
      <c r="O119" s="6">
        <v>248</v>
      </c>
      <c r="P119" s="6">
        <v>248</v>
      </c>
      <c r="Q119" s="14">
        <f t="shared" si="54"/>
        <v>1</v>
      </c>
      <c r="R119" s="6">
        <f t="shared" si="55"/>
        <v>0</v>
      </c>
      <c r="S119" s="6">
        <v>0</v>
      </c>
      <c r="T119" s="6">
        <v>0</v>
      </c>
      <c r="U119" s="6">
        <v>0</v>
      </c>
      <c r="V119" s="14" t="e">
        <f t="shared" si="56"/>
        <v>#DIV/0!</v>
      </c>
      <c r="W119" s="6">
        <f t="shared" si="57"/>
        <v>0</v>
      </c>
      <c r="X119" s="2">
        <v>17425</v>
      </c>
      <c r="Y119" s="2">
        <v>17425</v>
      </c>
      <c r="Z119" s="2">
        <v>17424</v>
      </c>
      <c r="AA119" s="25">
        <f t="shared" si="58"/>
        <v>0.99994261119081784</v>
      </c>
      <c r="AB119" s="2">
        <f t="shared" si="59"/>
        <v>-1</v>
      </c>
      <c r="AC119" s="2"/>
      <c r="AD119" s="2"/>
      <c r="AE119" s="2"/>
      <c r="AF119" s="25" t="e">
        <f t="shared" si="60"/>
        <v>#DIV/0!</v>
      </c>
      <c r="AG119" s="2">
        <f t="shared" si="61"/>
        <v>0</v>
      </c>
      <c r="AH119" s="2">
        <v>2657</v>
      </c>
      <c r="AI119" s="2">
        <v>2657</v>
      </c>
      <c r="AJ119" s="2">
        <v>2657</v>
      </c>
      <c r="AK119" s="25">
        <f t="shared" si="63"/>
        <v>1</v>
      </c>
      <c r="AL119" s="2"/>
      <c r="AM119" s="2"/>
      <c r="AN119" s="2"/>
      <c r="AO119" s="2"/>
      <c r="AP119" s="25" t="e">
        <f t="shared" si="64"/>
        <v>#DIV/0!</v>
      </c>
      <c r="AQ119" s="2"/>
      <c r="AR119" s="2"/>
      <c r="AS119" s="2"/>
      <c r="AT119" s="2"/>
      <c r="AU119" s="25" t="e">
        <f t="shared" si="65"/>
        <v>#DIV/0!</v>
      </c>
      <c r="AV119" s="2">
        <f t="shared" si="62"/>
        <v>0</v>
      </c>
      <c r="AW119" s="2">
        <v>14640</v>
      </c>
      <c r="AX119" s="2">
        <v>12392</v>
      </c>
      <c r="AY119" s="2">
        <v>8981</v>
      </c>
      <c r="AZ119" s="25">
        <f t="shared" si="66"/>
        <v>0.61345628415300546</v>
      </c>
      <c r="BA119" s="2"/>
      <c r="BB119" s="2">
        <f t="shared" si="67"/>
        <v>34970</v>
      </c>
      <c r="BC119" s="2">
        <f t="shared" si="68"/>
        <v>32722</v>
      </c>
      <c r="BD119" s="2">
        <f t="shared" si="69"/>
        <v>29310</v>
      </c>
      <c r="BE119" s="25">
        <f t="shared" si="70"/>
        <v>0.83814698312839575</v>
      </c>
      <c r="BF119" s="2"/>
    </row>
    <row r="120" spans="1:58" x14ac:dyDescent="0.35">
      <c r="A120" s="6">
        <v>681924</v>
      </c>
      <c r="B120" s="6" t="s">
        <v>107</v>
      </c>
      <c r="C120" s="6" t="s">
        <v>122</v>
      </c>
      <c r="D120" s="6"/>
      <c r="E120" s="6"/>
      <c r="F120" s="6"/>
      <c r="G120" s="14"/>
      <c r="H120" s="6"/>
      <c r="I120" s="6"/>
      <c r="J120" s="6"/>
      <c r="K120" s="6"/>
      <c r="L120" s="14"/>
      <c r="M120" s="6"/>
      <c r="N120" s="6">
        <v>3999</v>
      </c>
      <c r="O120" s="6">
        <v>0</v>
      </c>
      <c r="P120" s="6">
        <v>0</v>
      </c>
      <c r="Q120" s="14">
        <f t="shared" si="54"/>
        <v>0</v>
      </c>
      <c r="R120" s="6">
        <f t="shared" si="55"/>
        <v>0</v>
      </c>
      <c r="S120" s="6">
        <v>0</v>
      </c>
      <c r="T120" s="6">
        <v>0</v>
      </c>
      <c r="U120" s="6">
        <v>0</v>
      </c>
      <c r="V120" s="14" t="e">
        <f t="shared" si="56"/>
        <v>#DIV/0!</v>
      </c>
      <c r="W120" s="6">
        <f t="shared" si="57"/>
        <v>0</v>
      </c>
      <c r="X120" s="2"/>
      <c r="Y120" s="2"/>
      <c r="Z120" s="2"/>
      <c r="AA120" s="25" t="e">
        <f t="shared" si="58"/>
        <v>#DIV/0!</v>
      </c>
      <c r="AB120" s="2">
        <f t="shared" si="59"/>
        <v>0</v>
      </c>
      <c r="AC120" s="2"/>
      <c r="AD120" s="2"/>
      <c r="AE120" s="2"/>
      <c r="AF120" s="25" t="e">
        <f t="shared" si="60"/>
        <v>#DIV/0!</v>
      </c>
      <c r="AG120" s="2">
        <f t="shared" si="61"/>
        <v>0</v>
      </c>
      <c r="AH120" s="2"/>
      <c r="AI120" s="2"/>
      <c r="AJ120" s="2"/>
      <c r="AK120" s="25" t="e">
        <f t="shared" si="63"/>
        <v>#DIV/0!</v>
      </c>
      <c r="AL120" s="2"/>
      <c r="AM120" s="2"/>
      <c r="AN120" s="2"/>
      <c r="AO120" s="2"/>
      <c r="AP120" s="25" t="e">
        <f t="shared" si="64"/>
        <v>#DIV/0!</v>
      </c>
      <c r="AQ120" s="2"/>
      <c r="AR120" s="2"/>
      <c r="AS120" s="2"/>
      <c r="AT120" s="2"/>
      <c r="AU120" s="25" t="e">
        <f t="shared" si="65"/>
        <v>#DIV/0!</v>
      </c>
      <c r="AV120" s="2">
        <f t="shared" si="62"/>
        <v>0</v>
      </c>
      <c r="AW120" s="2"/>
      <c r="AX120" s="2"/>
      <c r="AY120" s="2"/>
      <c r="AZ120" s="25" t="e">
        <f t="shared" si="66"/>
        <v>#DIV/0!</v>
      </c>
      <c r="BA120" s="2"/>
      <c r="BB120" s="2">
        <f t="shared" si="67"/>
        <v>3999</v>
      </c>
      <c r="BC120" s="2">
        <f t="shared" si="68"/>
        <v>0</v>
      </c>
      <c r="BD120" s="2">
        <f t="shared" si="69"/>
        <v>0</v>
      </c>
      <c r="BE120" s="25">
        <f t="shared" si="70"/>
        <v>0</v>
      </c>
      <c r="BF120" s="2"/>
    </row>
    <row r="121" spans="1:58" x14ac:dyDescent="0.35">
      <c r="A121" s="6">
        <v>404848</v>
      </c>
      <c r="B121" s="6" t="s">
        <v>111</v>
      </c>
      <c r="C121" s="6" t="s">
        <v>122</v>
      </c>
      <c r="D121" s="6"/>
      <c r="E121" s="6"/>
      <c r="F121" s="6"/>
      <c r="G121" s="14"/>
      <c r="H121" s="6"/>
      <c r="I121" s="6"/>
      <c r="J121" s="6"/>
      <c r="K121" s="6"/>
      <c r="L121" s="14"/>
      <c r="M121" s="6"/>
      <c r="N121" s="6"/>
      <c r="O121" s="6"/>
      <c r="P121" s="6"/>
      <c r="Q121" s="14"/>
      <c r="R121" s="6"/>
      <c r="S121" s="6">
        <v>8</v>
      </c>
      <c r="T121" s="6">
        <v>8</v>
      </c>
      <c r="U121" s="6">
        <v>8</v>
      </c>
      <c r="V121" s="14">
        <f t="shared" si="56"/>
        <v>1</v>
      </c>
      <c r="W121" s="6">
        <f t="shared" si="57"/>
        <v>0</v>
      </c>
      <c r="X121" s="2"/>
      <c r="Y121" s="2"/>
      <c r="Z121" s="2"/>
      <c r="AA121" s="25" t="e">
        <f t="shared" si="58"/>
        <v>#DIV/0!</v>
      </c>
      <c r="AB121" s="2">
        <f t="shared" si="59"/>
        <v>0</v>
      </c>
      <c r="AC121" s="2"/>
      <c r="AD121" s="2"/>
      <c r="AE121" s="2"/>
      <c r="AF121" s="25" t="e">
        <f t="shared" si="60"/>
        <v>#DIV/0!</v>
      </c>
      <c r="AG121" s="2">
        <f t="shared" si="61"/>
        <v>0</v>
      </c>
      <c r="AH121" s="2">
        <v>4410</v>
      </c>
      <c r="AI121" s="2">
        <v>402</v>
      </c>
      <c r="AJ121" s="2">
        <v>647</v>
      </c>
      <c r="AK121" s="25">
        <f t="shared" si="63"/>
        <v>0.14671201814058957</v>
      </c>
      <c r="AL121" s="2"/>
      <c r="AM121" s="2"/>
      <c r="AN121" s="2"/>
      <c r="AO121" s="2"/>
      <c r="AP121" s="25" t="e">
        <f t="shared" si="64"/>
        <v>#DIV/0!</v>
      </c>
      <c r="AQ121" s="2"/>
      <c r="AR121" s="2"/>
      <c r="AS121" s="2"/>
      <c r="AT121" s="2"/>
      <c r="AU121" s="25" t="e">
        <f t="shared" si="65"/>
        <v>#DIV/0!</v>
      </c>
      <c r="AV121" s="2">
        <f t="shared" si="62"/>
        <v>0</v>
      </c>
      <c r="AW121" s="2"/>
      <c r="AX121" s="2"/>
      <c r="AY121" s="2"/>
      <c r="AZ121" s="25" t="e">
        <f t="shared" si="66"/>
        <v>#DIV/0!</v>
      </c>
      <c r="BA121" s="2"/>
      <c r="BB121" s="2">
        <f t="shared" si="67"/>
        <v>4418</v>
      </c>
      <c r="BC121" s="2">
        <f t="shared" si="68"/>
        <v>410</v>
      </c>
      <c r="BD121" s="2">
        <f t="shared" si="69"/>
        <v>655</v>
      </c>
      <c r="BE121" s="25">
        <f t="shared" si="70"/>
        <v>0.1482571299230421</v>
      </c>
      <c r="BF121" s="2"/>
    </row>
    <row r="122" spans="1:58" x14ac:dyDescent="0.35">
      <c r="A122" s="6">
        <v>197955</v>
      </c>
      <c r="B122" s="6" t="s">
        <v>112</v>
      </c>
      <c r="C122" s="6" t="s">
        <v>122</v>
      </c>
      <c r="D122" s="6"/>
      <c r="E122" s="6"/>
      <c r="F122" s="6"/>
      <c r="G122" s="14"/>
      <c r="H122" s="6"/>
      <c r="I122" s="6"/>
      <c r="J122" s="6"/>
      <c r="K122" s="6"/>
      <c r="L122" s="14"/>
      <c r="M122" s="6"/>
      <c r="N122" s="6"/>
      <c r="O122" s="6"/>
      <c r="P122" s="6"/>
      <c r="Q122" s="14"/>
      <c r="R122" s="6"/>
      <c r="S122" s="6">
        <v>4</v>
      </c>
      <c r="T122" s="6">
        <v>4</v>
      </c>
      <c r="U122" s="6">
        <v>0</v>
      </c>
      <c r="V122" s="14">
        <f t="shared" si="56"/>
        <v>0</v>
      </c>
      <c r="W122" s="6">
        <f t="shared" si="57"/>
        <v>-4</v>
      </c>
      <c r="X122" s="2"/>
      <c r="Y122" s="2"/>
      <c r="Z122" s="2"/>
      <c r="AA122" s="25" t="e">
        <f t="shared" si="58"/>
        <v>#DIV/0!</v>
      </c>
      <c r="AB122" s="2">
        <f t="shared" si="59"/>
        <v>0</v>
      </c>
      <c r="AC122" s="2"/>
      <c r="AD122" s="2"/>
      <c r="AE122" s="2"/>
      <c r="AF122" s="25" t="e">
        <f t="shared" si="60"/>
        <v>#DIV/0!</v>
      </c>
      <c r="AG122" s="2">
        <f t="shared" si="61"/>
        <v>0</v>
      </c>
      <c r="AH122" s="2"/>
      <c r="AI122" s="2"/>
      <c r="AJ122" s="2"/>
      <c r="AK122" s="25" t="e">
        <f t="shared" si="63"/>
        <v>#DIV/0!</v>
      </c>
      <c r="AL122" s="2"/>
      <c r="AM122" s="2"/>
      <c r="AN122" s="2"/>
      <c r="AO122" s="2"/>
      <c r="AP122" s="25" t="e">
        <f t="shared" si="64"/>
        <v>#DIV/0!</v>
      </c>
      <c r="AQ122" s="2"/>
      <c r="AR122" s="2"/>
      <c r="AS122" s="2"/>
      <c r="AT122" s="2"/>
      <c r="AU122" s="25" t="e">
        <f t="shared" si="65"/>
        <v>#DIV/0!</v>
      </c>
      <c r="AV122" s="2">
        <f t="shared" si="62"/>
        <v>0</v>
      </c>
      <c r="AW122" s="2">
        <v>173</v>
      </c>
      <c r="AX122" s="2">
        <v>73</v>
      </c>
      <c r="AY122" s="2"/>
      <c r="AZ122" s="25">
        <f t="shared" si="66"/>
        <v>0</v>
      </c>
      <c r="BA122" s="2"/>
      <c r="BB122" s="2">
        <f t="shared" si="67"/>
        <v>177</v>
      </c>
      <c r="BC122" s="2">
        <f t="shared" si="68"/>
        <v>77</v>
      </c>
      <c r="BD122" s="2">
        <f t="shared" si="69"/>
        <v>0</v>
      </c>
      <c r="BE122" s="25">
        <f t="shared" si="70"/>
        <v>0</v>
      </c>
      <c r="BF122" s="2"/>
    </row>
    <row r="123" spans="1:58" x14ac:dyDescent="0.35">
      <c r="A123" s="6">
        <v>232763</v>
      </c>
      <c r="B123" s="6" t="s">
        <v>113</v>
      </c>
      <c r="C123" s="6" t="s">
        <v>122</v>
      </c>
      <c r="D123" s="6"/>
      <c r="E123" s="6"/>
      <c r="F123" s="6"/>
      <c r="G123" s="14"/>
      <c r="H123" s="6"/>
      <c r="I123" s="6"/>
      <c r="J123" s="6"/>
      <c r="K123" s="6"/>
      <c r="L123" s="14"/>
      <c r="M123" s="6"/>
      <c r="N123" s="6"/>
      <c r="O123" s="6"/>
      <c r="P123" s="6"/>
      <c r="Q123" s="14"/>
      <c r="R123" s="6"/>
      <c r="S123" s="6">
        <v>3970</v>
      </c>
      <c r="T123" s="6">
        <v>381</v>
      </c>
      <c r="U123" s="6">
        <v>347</v>
      </c>
      <c r="V123" s="14">
        <f t="shared" si="56"/>
        <v>8.7405541561712846E-2</v>
      </c>
      <c r="W123" s="6">
        <f t="shared" si="57"/>
        <v>-34</v>
      </c>
      <c r="X123" s="2"/>
      <c r="Y123" s="2"/>
      <c r="Z123" s="2"/>
      <c r="AA123" s="25" t="e">
        <f t="shared" si="58"/>
        <v>#DIV/0!</v>
      </c>
      <c r="AB123" s="2">
        <f t="shared" si="59"/>
        <v>0</v>
      </c>
      <c r="AC123" s="2"/>
      <c r="AD123" s="2"/>
      <c r="AE123" s="2"/>
      <c r="AF123" s="25" t="e">
        <f t="shared" si="60"/>
        <v>#DIV/0!</v>
      </c>
      <c r="AG123" s="2">
        <f t="shared" si="61"/>
        <v>0</v>
      </c>
      <c r="AH123" s="2"/>
      <c r="AI123" s="2"/>
      <c r="AJ123" s="2"/>
      <c r="AK123" s="25" t="e">
        <f t="shared" si="63"/>
        <v>#DIV/0!</v>
      </c>
      <c r="AL123" s="2"/>
      <c r="AM123" s="2"/>
      <c r="AN123" s="2"/>
      <c r="AO123" s="2"/>
      <c r="AP123" s="25" t="e">
        <f t="shared" si="64"/>
        <v>#DIV/0!</v>
      </c>
      <c r="AQ123" s="2"/>
      <c r="AR123" s="2"/>
      <c r="AS123" s="2"/>
      <c r="AT123" s="2"/>
      <c r="AU123" s="25" t="e">
        <f t="shared" si="65"/>
        <v>#DIV/0!</v>
      </c>
      <c r="AV123" s="2">
        <f t="shared" si="62"/>
        <v>0</v>
      </c>
      <c r="AW123" s="2">
        <v>1</v>
      </c>
      <c r="AX123" s="2">
        <v>0</v>
      </c>
      <c r="AY123" s="2"/>
      <c r="AZ123" s="25">
        <f t="shared" si="66"/>
        <v>0</v>
      </c>
      <c r="BA123" s="2"/>
      <c r="BB123" s="2">
        <f t="shared" si="67"/>
        <v>3971</v>
      </c>
      <c r="BC123" s="2">
        <f t="shared" si="68"/>
        <v>381</v>
      </c>
      <c r="BD123" s="2">
        <f t="shared" si="69"/>
        <v>347</v>
      </c>
      <c r="BE123" s="25">
        <f t="shared" si="70"/>
        <v>8.7383530596826992E-2</v>
      </c>
      <c r="BF123" s="2"/>
    </row>
    <row r="124" spans="1:58" x14ac:dyDescent="0.35">
      <c r="A124" s="6">
        <v>338677</v>
      </c>
      <c r="B124" s="6" t="s">
        <v>114</v>
      </c>
      <c r="C124" s="6" t="s">
        <v>122</v>
      </c>
      <c r="D124" s="6"/>
      <c r="E124" s="6"/>
      <c r="F124" s="6"/>
      <c r="G124" s="14"/>
      <c r="H124" s="6"/>
      <c r="I124" s="6"/>
      <c r="J124" s="6"/>
      <c r="K124" s="6"/>
      <c r="L124" s="14"/>
      <c r="M124" s="6"/>
      <c r="N124" s="6"/>
      <c r="O124" s="6"/>
      <c r="P124" s="6"/>
      <c r="Q124" s="14"/>
      <c r="R124" s="6"/>
      <c r="S124" s="6">
        <v>3000</v>
      </c>
      <c r="T124" s="6">
        <v>539</v>
      </c>
      <c r="U124" s="6">
        <v>539</v>
      </c>
      <c r="V124" s="14">
        <f t="shared" si="56"/>
        <v>0.17966666666666667</v>
      </c>
      <c r="W124" s="6">
        <f t="shared" si="57"/>
        <v>0</v>
      </c>
      <c r="X124" s="2"/>
      <c r="Y124" s="2"/>
      <c r="Z124" s="2"/>
      <c r="AA124" s="25" t="e">
        <f t="shared" si="58"/>
        <v>#DIV/0!</v>
      </c>
      <c r="AB124" s="2">
        <f t="shared" si="59"/>
        <v>0</v>
      </c>
      <c r="AC124" s="2"/>
      <c r="AD124" s="2"/>
      <c r="AE124" s="2"/>
      <c r="AF124" s="25" t="e">
        <f t="shared" si="60"/>
        <v>#DIV/0!</v>
      </c>
      <c r="AG124" s="2">
        <f t="shared" si="61"/>
        <v>0</v>
      </c>
      <c r="AH124" s="2"/>
      <c r="AI124" s="2"/>
      <c r="AJ124" s="2"/>
      <c r="AK124" s="25" t="e">
        <f t="shared" si="63"/>
        <v>#DIV/0!</v>
      </c>
      <c r="AL124" s="2"/>
      <c r="AM124" s="2"/>
      <c r="AN124" s="2"/>
      <c r="AO124" s="2"/>
      <c r="AP124" s="25" t="e">
        <f t="shared" si="64"/>
        <v>#DIV/0!</v>
      </c>
      <c r="AQ124" s="2"/>
      <c r="AR124" s="2"/>
      <c r="AS124" s="2"/>
      <c r="AT124" s="2"/>
      <c r="AU124" s="25" t="e">
        <f t="shared" si="65"/>
        <v>#DIV/0!</v>
      </c>
      <c r="AV124" s="2">
        <f t="shared" si="62"/>
        <v>0</v>
      </c>
      <c r="AW124" s="2"/>
      <c r="AX124" s="2"/>
      <c r="AY124" s="2"/>
      <c r="AZ124" s="25" t="e">
        <f t="shared" si="66"/>
        <v>#DIV/0!</v>
      </c>
      <c r="BA124" s="2"/>
      <c r="BB124" s="2">
        <f t="shared" si="67"/>
        <v>3000</v>
      </c>
      <c r="BC124" s="2">
        <f t="shared" si="68"/>
        <v>539</v>
      </c>
      <c r="BD124" s="2">
        <f t="shared" si="69"/>
        <v>539</v>
      </c>
      <c r="BE124" s="25">
        <f t="shared" si="70"/>
        <v>0.17966666666666667</v>
      </c>
      <c r="BF124" s="2"/>
    </row>
    <row r="125" spans="1:58" x14ac:dyDescent="0.35">
      <c r="A125" s="6">
        <v>356938</v>
      </c>
      <c r="B125" s="6" t="s">
        <v>115</v>
      </c>
      <c r="C125" s="6" t="s">
        <v>122</v>
      </c>
      <c r="D125" s="6"/>
      <c r="E125" s="6"/>
      <c r="F125" s="6"/>
      <c r="G125" s="14"/>
      <c r="H125" s="6"/>
      <c r="I125" s="6"/>
      <c r="J125" s="6"/>
      <c r="K125" s="6"/>
      <c r="L125" s="14"/>
      <c r="M125" s="6"/>
      <c r="N125" s="6"/>
      <c r="O125" s="6"/>
      <c r="P125" s="6"/>
      <c r="Q125" s="14"/>
      <c r="R125" s="6"/>
      <c r="S125" s="6">
        <v>26</v>
      </c>
      <c r="T125" s="6">
        <v>26</v>
      </c>
      <c r="U125" s="6">
        <v>26</v>
      </c>
      <c r="V125" s="14">
        <f t="shared" si="56"/>
        <v>1</v>
      </c>
      <c r="W125" s="6">
        <f t="shared" si="57"/>
        <v>0</v>
      </c>
      <c r="X125" s="2"/>
      <c r="Y125" s="2"/>
      <c r="Z125" s="2"/>
      <c r="AA125" s="25" t="e">
        <f t="shared" si="58"/>
        <v>#DIV/0!</v>
      </c>
      <c r="AB125" s="2">
        <f t="shared" si="59"/>
        <v>0</v>
      </c>
      <c r="AC125" s="2"/>
      <c r="AD125" s="2"/>
      <c r="AE125" s="2"/>
      <c r="AF125" s="25" t="e">
        <f t="shared" si="60"/>
        <v>#DIV/0!</v>
      </c>
      <c r="AG125" s="2">
        <f t="shared" si="61"/>
        <v>0</v>
      </c>
      <c r="AH125" s="2"/>
      <c r="AI125" s="2"/>
      <c r="AJ125" s="2"/>
      <c r="AK125" s="25" t="e">
        <f t="shared" si="63"/>
        <v>#DIV/0!</v>
      </c>
      <c r="AL125" s="2"/>
      <c r="AM125" s="2"/>
      <c r="AN125" s="2"/>
      <c r="AO125" s="2"/>
      <c r="AP125" s="25" t="e">
        <f t="shared" si="64"/>
        <v>#DIV/0!</v>
      </c>
      <c r="AQ125" s="2"/>
      <c r="AR125" s="2"/>
      <c r="AS125" s="2"/>
      <c r="AT125" s="2"/>
      <c r="AU125" s="25" t="e">
        <f t="shared" si="65"/>
        <v>#DIV/0!</v>
      </c>
      <c r="AV125" s="2">
        <f t="shared" si="62"/>
        <v>0</v>
      </c>
      <c r="AW125" s="2">
        <v>10</v>
      </c>
      <c r="AX125" s="2">
        <v>3</v>
      </c>
      <c r="AY125" s="2"/>
      <c r="AZ125" s="25">
        <f t="shared" si="66"/>
        <v>0</v>
      </c>
      <c r="BA125" s="2"/>
      <c r="BB125" s="2">
        <f t="shared" si="67"/>
        <v>36</v>
      </c>
      <c r="BC125" s="2">
        <f t="shared" si="68"/>
        <v>29</v>
      </c>
      <c r="BD125" s="2">
        <f t="shared" si="69"/>
        <v>26</v>
      </c>
      <c r="BE125" s="25">
        <f t="shared" si="70"/>
        <v>0.72222222222222221</v>
      </c>
      <c r="BF125" s="2"/>
    </row>
    <row r="126" spans="1:58" x14ac:dyDescent="0.3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7"/>
      <c r="M126" s="6"/>
      <c r="N126" s="6"/>
      <c r="O126" s="6"/>
      <c r="P126" s="6"/>
      <c r="Q126" s="7"/>
      <c r="R126" s="6"/>
      <c r="S126" s="6">
        <v>0</v>
      </c>
      <c r="T126" s="6">
        <v>0</v>
      </c>
      <c r="U126" s="6">
        <v>0</v>
      </c>
      <c r="V126" s="7" t="e">
        <f t="shared" si="56"/>
        <v>#DIV/0!</v>
      </c>
      <c r="W126" s="6">
        <f t="shared" si="57"/>
        <v>0</v>
      </c>
      <c r="X126" s="2"/>
      <c r="Y126" s="2"/>
      <c r="Z126" s="2"/>
      <c r="AA126" s="3" t="e">
        <f t="shared" si="58"/>
        <v>#DIV/0!</v>
      </c>
      <c r="AB126" s="2">
        <f t="shared" si="59"/>
        <v>0</v>
      </c>
      <c r="AC126" s="2"/>
      <c r="AD126" s="2"/>
      <c r="AE126" s="2"/>
      <c r="AF126" s="3" t="e">
        <f t="shared" si="60"/>
        <v>#DIV/0!</v>
      </c>
      <c r="AG126" s="2">
        <f t="shared" si="61"/>
        <v>0</v>
      </c>
      <c r="AH126" s="2"/>
      <c r="AI126" s="2"/>
      <c r="AJ126" s="2"/>
      <c r="AK126" s="3" t="e">
        <f t="shared" si="63"/>
        <v>#DIV/0!</v>
      </c>
      <c r="AL126" s="2"/>
      <c r="AM126" s="2"/>
      <c r="AN126" s="2"/>
      <c r="AO126" s="2"/>
      <c r="AP126" s="3" t="e">
        <f t="shared" si="64"/>
        <v>#DIV/0!</v>
      </c>
      <c r="AQ126" s="2"/>
      <c r="AR126" s="2"/>
      <c r="AS126" s="2"/>
      <c r="AT126" s="2"/>
      <c r="AU126" s="3" t="e">
        <f t="shared" si="65"/>
        <v>#DIV/0!</v>
      </c>
      <c r="AV126" s="2"/>
      <c r="AW126" s="2"/>
      <c r="AX126" s="2"/>
      <c r="AY126" s="2"/>
      <c r="AZ126" s="3" t="e">
        <f t="shared" si="66"/>
        <v>#DIV/0!</v>
      </c>
      <c r="BA126" s="2"/>
      <c r="BB126" s="2">
        <f>AR126+AC126+X126+S126+N126+I126+D126</f>
        <v>0</v>
      </c>
      <c r="BC126" s="2">
        <f>AS126+AD126+Y126+T126+O126+J126+E126</f>
        <v>0</v>
      </c>
      <c r="BD126" s="2">
        <f>AT126+AE126+Z126+U126+P126+K126+F126</f>
        <v>0</v>
      </c>
      <c r="BE126" s="3" t="e">
        <f t="shared" si="70"/>
        <v>#DIV/0!</v>
      </c>
      <c r="BF126" s="2"/>
    </row>
    <row r="127" spans="1:58" x14ac:dyDescent="0.35">
      <c r="A127" s="12"/>
      <c r="B127" s="12"/>
      <c r="C127" s="12"/>
      <c r="D127" s="12"/>
      <c r="E127" s="12"/>
      <c r="F127" s="12"/>
      <c r="G127" s="13"/>
      <c r="H127" s="12"/>
      <c r="I127" s="12"/>
      <c r="J127" s="12"/>
      <c r="K127" s="12"/>
      <c r="L127" s="13"/>
      <c r="M127" s="12"/>
      <c r="N127" s="12"/>
      <c r="O127" s="12"/>
      <c r="P127" s="12"/>
      <c r="Q127" s="16"/>
      <c r="R127" s="12"/>
      <c r="S127" s="12"/>
      <c r="T127" s="12"/>
      <c r="U127" s="12"/>
      <c r="V127" s="16"/>
      <c r="W127" s="12"/>
      <c r="X127" s="12"/>
      <c r="Y127" s="12"/>
      <c r="Z127" s="12"/>
      <c r="AA127" s="13"/>
      <c r="AB127" s="12"/>
      <c r="AC127" s="12"/>
      <c r="AD127" s="12"/>
      <c r="AE127" s="12"/>
      <c r="AF127" s="13"/>
      <c r="AG127" s="12"/>
      <c r="AH127" s="12"/>
      <c r="AI127" s="12"/>
      <c r="AJ127" s="12"/>
      <c r="AK127" s="13"/>
      <c r="AL127" s="12"/>
      <c r="AM127" s="12"/>
      <c r="AN127" s="12"/>
      <c r="AO127" s="12"/>
      <c r="AP127" s="13"/>
      <c r="AQ127" s="12"/>
      <c r="AR127" s="12"/>
      <c r="AS127" s="12"/>
      <c r="AT127" s="12"/>
      <c r="AU127" s="12"/>
      <c r="AV127" s="12"/>
      <c r="AW127" s="12"/>
      <c r="AX127" s="12"/>
      <c r="AY127" s="12"/>
      <c r="AZ127" s="13"/>
      <c r="BA127" s="12"/>
    </row>
    <row r="128" spans="1:58" x14ac:dyDescent="0.35">
      <c r="A128" s="2"/>
      <c r="B128" s="2"/>
      <c r="C128" s="2" t="s">
        <v>103</v>
      </c>
      <c r="D128" s="5">
        <f>SUM(D3:D125)</f>
        <v>1445786</v>
      </c>
      <c r="E128" s="5">
        <f>SUM(E3:E125)</f>
        <v>379043</v>
      </c>
      <c r="F128" s="5">
        <f>SUM(F3:F125)</f>
        <v>346772</v>
      </c>
      <c r="G128" s="3">
        <f t="shared" ref="G128" si="72">F128/D128</f>
        <v>0.2398501576305207</v>
      </c>
      <c r="H128" s="5">
        <f>SUM(H3:H125)</f>
        <v>-32271</v>
      </c>
      <c r="I128" s="5">
        <f>SUM(I3:I125)</f>
        <v>1309281</v>
      </c>
      <c r="J128" s="5">
        <f>SUM(J3:J125)</f>
        <v>295722</v>
      </c>
      <c r="K128" s="5">
        <f>SUM(K3:K125)</f>
        <v>257908</v>
      </c>
      <c r="L128" s="3">
        <f t="shared" ref="L128" si="73">K128/I128</f>
        <v>0.19698445177162122</v>
      </c>
      <c r="M128" s="5">
        <f>SUM(M3:M125)</f>
        <v>-37814</v>
      </c>
      <c r="N128" s="5">
        <f>SUM(N3:N125)</f>
        <v>1421641</v>
      </c>
      <c r="O128" s="5">
        <f>SUM(O3:O125)</f>
        <v>584103</v>
      </c>
      <c r="P128" s="5">
        <f>SUM(P3:P125)</f>
        <v>560721</v>
      </c>
      <c r="Q128" s="7">
        <f t="shared" ref="Q128" si="74">P128/N128</f>
        <v>0.39441814072610454</v>
      </c>
      <c r="R128" s="5">
        <f>SUM(R3:R125)</f>
        <v>-23382</v>
      </c>
      <c r="S128" s="5">
        <f>SUM(S3:S127)</f>
        <v>1424524</v>
      </c>
      <c r="T128" s="5">
        <f>SUM(T3:T127)</f>
        <v>353499</v>
      </c>
      <c r="U128" s="5">
        <f>SUM(U3:U127)</f>
        <v>295412</v>
      </c>
      <c r="V128" s="7">
        <f t="shared" ref="V128" si="75">U128/S128</f>
        <v>0.20737593750614242</v>
      </c>
      <c r="W128" s="5">
        <f>SUM(W3:W125)</f>
        <v>-58052</v>
      </c>
      <c r="X128" s="5">
        <f>SUM(X3:X125)</f>
        <v>1265225</v>
      </c>
      <c r="Y128" s="5">
        <f>SUM(Y3:Y125)</f>
        <v>331122</v>
      </c>
      <c r="Z128" s="5">
        <f>SUM(Z3:Z125)</f>
        <v>302832</v>
      </c>
      <c r="AA128" s="3">
        <f t="shared" ref="AA128" si="76">Z128/X128</f>
        <v>0.23935031318540181</v>
      </c>
      <c r="AB128" s="5">
        <f>SUM(AB3:AB125)</f>
        <v>-28290</v>
      </c>
      <c r="AC128" s="5">
        <f>SUM(AC3:AC125)</f>
        <v>1171682</v>
      </c>
      <c r="AD128" s="5">
        <f>SUM(AD3:AD125)</f>
        <v>311797</v>
      </c>
      <c r="AE128" s="5">
        <f>SUM(AE3:AE125)</f>
        <v>290349</v>
      </c>
      <c r="AF128" s="3">
        <f t="shared" ref="AF128" si="77">AE128/AC128</f>
        <v>0.24780529187953729</v>
      </c>
      <c r="AG128" s="5">
        <f>SUM(AG3:AG125)</f>
        <v>-21448</v>
      </c>
      <c r="AH128" s="5">
        <f>SUM(AH3:AH125)</f>
        <v>1819764</v>
      </c>
      <c r="AI128" s="5">
        <f>SUM(AI3:AI125)</f>
        <v>350397</v>
      </c>
      <c r="AJ128" s="5">
        <f>SUM(AJ3:AJ125)</f>
        <v>319629</v>
      </c>
      <c r="AK128" s="24">
        <f>AJ128/AH128</f>
        <v>0.17564310536970729</v>
      </c>
      <c r="AL128" s="5">
        <f>SUM(AL3:AL125)</f>
        <v>0</v>
      </c>
      <c r="AM128" s="5">
        <f>SUM(AM3:AM125)</f>
        <v>3191707</v>
      </c>
      <c r="AN128" s="5">
        <f>SUM(AN3:AN125)</f>
        <v>735926</v>
      </c>
      <c r="AO128" s="5">
        <f>SUM(AO3:AO125)</f>
        <v>614796</v>
      </c>
      <c r="AP128" s="24">
        <f>AO128/AM128</f>
        <v>0.19262294439934494</v>
      </c>
      <c r="AQ128" s="5">
        <f>SUM(AQ3:AQ125)</f>
        <v>0</v>
      </c>
      <c r="AR128" s="5">
        <f>SUM(AR3:AR125)</f>
        <v>3171824</v>
      </c>
      <c r="AS128" s="5">
        <f>SUM(AS3:AS125)</f>
        <v>586535</v>
      </c>
      <c r="AT128" s="5">
        <f>SUM(AT3:AT125)</f>
        <v>468962</v>
      </c>
      <c r="AU128" s="3">
        <f t="shared" ref="AU128" si="78">AT128/AR128</f>
        <v>0.14785246596280247</v>
      </c>
      <c r="AV128" s="5">
        <f>SUM(AV3:AV125)</f>
        <v>-93703</v>
      </c>
      <c r="AW128" s="5">
        <f>SUM(AW3:AW125)</f>
        <v>2551822</v>
      </c>
      <c r="AX128" s="5">
        <f>SUM(AX3:AX125)</f>
        <v>493224</v>
      </c>
      <c r="AY128" s="5">
        <f>SUM(AY3:AY125)</f>
        <v>447002</v>
      </c>
      <c r="AZ128" s="24">
        <f>AY128/AW128</f>
        <v>0.17516974146315847</v>
      </c>
      <c r="BA128" s="5">
        <f>SUM(BA3:BA125)</f>
        <v>0</v>
      </c>
      <c r="BB128" s="5">
        <f>SUM(BB3:BB125)</f>
        <v>18773256</v>
      </c>
      <c r="BC128" s="5">
        <f>SUM(BC3:BC125)</f>
        <v>4421368</v>
      </c>
      <c r="BD128" s="5">
        <f>SUM(BD3:BD125)</f>
        <v>3904383</v>
      </c>
      <c r="BE128" s="24">
        <f>BD128/BB128</f>
        <v>0.20797580345146308</v>
      </c>
      <c r="BF128" s="5">
        <f>SUM(BF3:BF125)</f>
        <v>0</v>
      </c>
    </row>
    <row r="131" spans="6:22" x14ac:dyDescent="0.35">
      <c r="F131" s="4"/>
      <c r="G131"/>
      <c r="K131" s="4"/>
      <c r="L131"/>
      <c r="P131" s="4"/>
      <c r="Q131"/>
      <c r="U131" s="4"/>
      <c r="V131"/>
    </row>
    <row r="132" spans="6:22" x14ac:dyDescent="0.35">
      <c r="F132" s="4"/>
      <c r="G132"/>
      <c r="K132" s="4"/>
      <c r="L132"/>
      <c r="P132" s="4"/>
      <c r="Q132"/>
      <c r="U132" s="4"/>
      <c r="V132"/>
    </row>
    <row r="133" spans="6:22" x14ac:dyDescent="0.35">
      <c r="F133" s="4"/>
      <c r="G133"/>
      <c r="K133" s="4"/>
      <c r="L133"/>
      <c r="P133" s="4"/>
      <c r="Q133"/>
      <c r="U133" s="4"/>
      <c r="V133"/>
    </row>
    <row r="134" spans="6:22" x14ac:dyDescent="0.35">
      <c r="F134" s="4"/>
      <c r="G134"/>
      <c r="K134" s="4"/>
      <c r="L134"/>
      <c r="P134" s="4"/>
      <c r="Q134"/>
      <c r="U134" s="4"/>
      <c r="V134"/>
    </row>
    <row r="135" spans="6:22" x14ac:dyDescent="0.35">
      <c r="F135" s="4"/>
      <c r="G135"/>
      <c r="K135" s="4"/>
      <c r="L135"/>
      <c r="P135" s="4"/>
      <c r="Q135"/>
      <c r="U135" s="4"/>
      <c r="V135"/>
    </row>
    <row r="136" spans="6:22" x14ac:dyDescent="0.35">
      <c r="F136" s="4"/>
      <c r="G136"/>
      <c r="K136" s="4"/>
      <c r="L136"/>
      <c r="P136" s="4"/>
      <c r="Q136"/>
      <c r="U136" s="4"/>
      <c r="V136"/>
    </row>
    <row r="137" spans="6:22" x14ac:dyDescent="0.35">
      <c r="F137" s="4"/>
      <c r="G137"/>
      <c r="K137" s="4"/>
      <c r="L137"/>
      <c r="P137" s="4"/>
      <c r="Q137"/>
      <c r="U137" s="4"/>
      <c r="V137"/>
    </row>
    <row r="138" spans="6:22" x14ac:dyDescent="0.35">
      <c r="F138" s="4"/>
      <c r="G138"/>
      <c r="K138" s="4"/>
      <c r="L138"/>
      <c r="P138" s="4"/>
      <c r="Q138"/>
      <c r="U138" s="4"/>
      <c r="V138"/>
    </row>
  </sheetData>
  <sortState xmlns:xlrd2="http://schemas.microsoft.com/office/spreadsheetml/2017/richdata2" ref="A1:BF126">
    <sortCondition descending="1" ref="C5:C92"/>
  </sortState>
  <mergeCells count="14">
    <mergeCell ref="A1:A2"/>
    <mergeCell ref="B1:B2"/>
    <mergeCell ref="C1:C2"/>
    <mergeCell ref="X1:AB1"/>
    <mergeCell ref="S1:W1"/>
    <mergeCell ref="N1:R1"/>
    <mergeCell ref="D1:H1"/>
    <mergeCell ref="I1:M1"/>
    <mergeCell ref="BB1:BF1"/>
    <mergeCell ref="AR1:AV1"/>
    <mergeCell ref="AC1:AG1"/>
    <mergeCell ref="AH1:AL1"/>
    <mergeCell ref="AM1:AQ1"/>
    <mergeCell ref="AW1:BA1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1BC3-CCAA-4542-B291-474977EC0D10}">
  <sheetPr filterMode="1"/>
  <dimension ref="A1:E109"/>
  <sheetViews>
    <sheetView workbookViewId="0">
      <selection activeCell="D15" sqref="D15"/>
    </sheetView>
  </sheetViews>
  <sheetFormatPr defaultRowHeight="14.5" x14ac:dyDescent="0.35"/>
  <cols>
    <col min="4" max="4" width="8.7265625" style="4"/>
  </cols>
  <sheetData>
    <row r="1" spans="1:5" x14ac:dyDescent="0.35">
      <c r="A1" t="s">
        <v>0</v>
      </c>
      <c r="B1" t="s">
        <v>1</v>
      </c>
      <c r="C1" t="s">
        <v>2</v>
      </c>
      <c r="D1" s="4" t="s">
        <v>6</v>
      </c>
      <c r="E1" t="s">
        <v>121</v>
      </c>
    </row>
    <row r="2" spans="1:5" x14ac:dyDescent="0.35">
      <c r="A2">
        <v>326424</v>
      </c>
      <c r="B2" t="s">
        <v>10</v>
      </c>
      <c r="C2" t="s">
        <v>11</v>
      </c>
      <c r="D2" s="4">
        <v>0.4953574985925252</v>
      </c>
      <c r="E2">
        <v>998</v>
      </c>
    </row>
    <row r="3" spans="1:5" x14ac:dyDescent="0.35">
      <c r="A3">
        <v>326425</v>
      </c>
      <c r="B3" t="s">
        <v>14</v>
      </c>
      <c r="C3" t="s">
        <v>11</v>
      </c>
      <c r="D3" s="4">
        <v>0.31344226442696654</v>
      </c>
      <c r="E3">
        <v>406</v>
      </c>
    </row>
    <row r="4" spans="1:5" x14ac:dyDescent="0.35">
      <c r="A4">
        <v>242269</v>
      </c>
      <c r="B4" t="s">
        <v>15</v>
      </c>
      <c r="C4" t="s">
        <v>11</v>
      </c>
      <c r="D4" s="4">
        <v>2.936599699211517E-2</v>
      </c>
      <c r="E4">
        <v>75</v>
      </c>
    </row>
    <row r="5" spans="1:5" x14ac:dyDescent="0.35">
      <c r="A5">
        <v>326696</v>
      </c>
      <c r="B5" t="s">
        <v>16</v>
      </c>
      <c r="C5" t="s">
        <v>11</v>
      </c>
      <c r="D5" s="4">
        <v>0.11161970509886317</v>
      </c>
      <c r="E5">
        <v>0</v>
      </c>
    </row>
    <row r="6" spans="1:5" hidden="1" x14ac:dyDescent="0.35">
      <c r="A6">
        <v>373933</v>
      </c>
      <c r="B6" t="s">
        <v>17</v>
      </c>
      <c r="C6" t="s">
        <v>122</v>
      </c>
      <c r="D6" s="4">
        <v>0.3258426966292135</v>
      </c>
    </row>
    <row r="7" spans="1:5" hidden="1" x14ac:dyDescent="0.35">
      <c r="A7">
        <v>338729</v>
      </c>
      <c r="B7" t="s">
        <v>18</v>
      </c>
      <c r="C7" t="s">
        <v>122</v>
      </c>
      <c r="D7" s="4">
        <v>0.18805282927420333</v>
      </c>
    </row>
    <row r="8" spans="1:5" hidden="1" x14ac:dyDescent="0.35">
      <c r="A8">
        <v>586404</v>
      </c>
      <c r="B8" t="s">
        <v>19</v>
      </c>
      <c r="C8" t="s">
        <v>122</v>
      </c>
      <c r="D8" s="4">
        <v>6.6987951807228913E-2</v>
      </c>
    </row>
    <row r="9" spans="1:5" x14ac:dyDescent="0.35">
      <c r="A9">
        <v>110955</v>
      </c>
      <c r="B9" t="s">
        <v>20</v>
      </c>
      <c r="C9" t="s">
        <v>11</v>
      </c>
      <c r="D9" s="4">
        <v>0.22103748746460855</v>
      </c>
      <c r="E9">
        <v>22149</v>
      </c>
    </row>
    <row r="10" spans="1:5" x14ac:dyDescent="0.35">
      <c r="A10">
        <v>213407</v>
      </c>
      <c r="B10" t="s">
        <v>21</v>
      </c>
      <c r="C10" t="s">
        <v>11</v>
      </c>
      <c r="D10" s="4">
        <v>0.17851438480745285</v>
      </c>
      <c r="E10">
        <v>3</v>
      </c>
    </row>
    <row r="11" spans="1:5" x14ac:dyDescent="0.35">
      <c r="A11">
        <v>553871</v>
      </c>
      <c r="B11" t="s">
        <v>22</v>
      </c>
      <c r="C11" t="s">
        <v>11</v>
      </c>
      <c r="D11" s="4">
        <v>0.43796610347333159</v>
      </c>
      <c r="E11">
        <v>360</v>
      </c>
    </row>
    <row r="12" spans="1:5" x14ac:dyDescent="0.35">
      <c r="A12">
        <v>338695</v>
      </c>
      <c r="B12" t="s">
        <v>23</v>
      </c>
      <c r="C12" t="s">
        <v>11</v>
      </c>
      <c r="D12" s="4">
        <v>0.2802504002919583</v>
      </c>
      <c r="E12">
        <v>57</v>
      </c>
    </row>
    <row r="13" spans="1:5" x14ac:dyDescent="0.35">
      <c r="A13">
        <v>326694</v>
      </c>
      <c r="B13" t="s">
        <v>24</v>
      </c>
      <c r="C13" t="s">
        <v>11</v>
      </c>
      <c r="D13" s="4">
        <v>0.45759642614973478</v>
      </c>
      <c r="E13">
        <v>91</v>
      </c>
    </row>
    <row r="14" spans="1:5" x14ac:dyDescent="0.35">
      <c r="A14">
        <v>326429</v>
      </c>
      <c r="B14" t="s">
        <v>25</v>
      </c>
      <c r="C14" t="s">
        <v>11</v>
      </c>
      <c r="D14" s="4">
        <v>0.25080132253918735</v>
      </c>
      <c r="E14">
        <v>5272</v>
      </c>
    </row>
    <row r="15" spans="1:5" x14ac:dyDescent="0.35">
      <c r="A15">
        <v>338748</v>
      </c>
      <c r="B15" t="s">
        <v>26</v>
      </c>
      <c r="C15" t="s">
        <v>11</v>
      </c>
      <c r="D15" s="4">
        <v>2.8190722418336398E-2</v>
      </c>
      <c r="E15">
        <v>78</v>
      </c>
    </row>
    <row r="16" spans="1:5" x14ac:dyDescent="0.35">
      <c r="A16">
        <v>498419</v>
      </c>
      <c r="B16" t="s">
        <v>27</v>
      </c>
      <c r="C16" t="s">
        <v>11</v>
      </c>
      <c r="D16" s="4">
        <v>0.12139643920674142</v>
      </c>
      <c r="E16">
        <v>36</v>
      </c>
    </row>
    <row r="17" spans="1:5" x14ac:dyDescent="0.35">
      <c r="A17">
        <v>239515</v>
      </c>
      <c r="B17" t="s">
        <v>28</v>
      </c>
      <c r="C17" t="s">
        <v>11</v>
      </c>
      <c r="D17" s="4">
        <v>0.44157186617164751</v>
      </c>
      <c r="E17">
        <v>2</v>
      </c>
    </row>
    <row r="18" spans="1:5" x14ac:dyDescent="0.35">
      <c r="A18">
        <v>245805</v>
      </c>
      <c r="B18" t="s">
        <v>29</v>
      </c>
      <c r="C18" t="s">
        <v>11</v>
      </c>
      <c r="D18" s="4">
        <v>0.11670624692287643</v>
      </c>
      <c r="E18">
        <v>176</v>
      </c>
    </row>
    <row r="19" spans="1:5" x14ac:dyDescent="0.35">
      <c r="A19">
        <v>213405</v>
      </c>
      <c r="B19" t="s">
        <v>30</v>
      </c>
      <c r="C19" t="s">
        <v>11</v>
      </c>
      <c r="D19" s="4">
        <v>0.10249776810442013</v>
      </c>
      <c r="E19">
        <v>1</v>
      </c>
    </row>
    <row r="20" spans="1:5" x14ac:dyDescent="0.35">
      <c r="A20">
        <v>382186</v>
      </c>
      <c r="B20" t="s">
        <v>31</v>
      </c>
      <c r="C20" t="s">
        <v>11</v>
      </c>
      <c r="D20" s="4">
        <v>8.0879076104256598E-2</v>
      </c>
      <c r="E20">
        <v>96</v>
      </c>
    </row>
    <row r="21" spans="1:5" x14ac:dyDescent="0.35">
      <c r="A21">
        <v>326433</v>
      </c>
      <c r="B21" t="s">
        <v>32</v>
      </c>
      <c r="C21" t="s">
        <v>11</v>
      </c>
      <c r="D21" s="4">
        <v>0.34894436997319034</v>
      </c>
      <c r="E21">
        <v>0</v>
      </c>
    </row>
    <row r="22" spans="1:5" x14ac:dyDescent="0.35">
      <c r="A22">
        <v>233930</v>
      </c>
      <c r="B22" t="s">
        <v>33</v>
      </c>
      <c r="C22" t="s">
        <v>11</v>
      </c>
      <c r="D22" s="4">
        <v>4.0092113167605914E-2</v>
      </c>
      <c r="E22">
        <v>65</v>
      </c>
    </row>
    <row r="23" spans="1:5" x14ac:dyDescent="0.35">
      <c r="A23">
        <v>220338</v>
      </c>
      <c r="B23" t="s">
        <v>34</v>
      </c>
      <c r="C23" t="s">
        <v>11</v>
      </c>
      <c r="D23" s="4">
        <v>0.16364967859177088</v>
      </c>
      <c r="E23">
        <v>69</v>
      </c>
    </row>
    <row r="24" spans="1:5" hidden="1" x14ac:dyDescent="0.35">
      <c r="A24">
        <v>364310</v>
      </c>
      <c r="B24" t="s">
        <v>35</v>
      </c>
      <c r="C24" t="s">
        <v>122</v>
      </c>
      <c r="D24" s="4">
        <v>0.12331929919869618</v>
      </c>
    </row>
    <row r="25" spans="1:5" x14ac:dyDescent="0.35">
      <c r="A25">
        <v>422074</v>
      </c>
      <c r="B25" t="s">
        <v>36</v>
      </c>
      <c r="C25" t="s">
        <v>11</v>
      </c>
      <c r="D25" s="4">
        <v>0.244230013007048</v>
      </c>
      <c r="E25">
        <v>0</v>
      </c>
    </row>
    <row r="26" spans="1:5" x14ac:dyDescent="0.35">
      <c r="A26">
        <v>553982</v>
      </c>
      <c r="B26" t="s">
        <v>37</v>
      </c>
      <c r="C26" t="s">
        <v>11</v>
      </c>
      <c r="D26" s="4">
        <v>6.9218119300343842E-2</v>
      </c>
      <c r="E26">
        <v>0</v>
      </c>
    </row>
    <row r="27" spans="1:5" x14ac:dyDescent="0.35">
      <c r="A27">
        <v>338933</v>
      </c>
      <c r="B27" t="s">
        <v>38</v>
      </c>
      <c r="C27" t="s">
        <v>11</v>
      </c>
      <c r="D27" s="4">
        <v>5.4237754540451294E-2</v>
      </c>
      <c r="E27">
        <v>85</v>
      </c>
    </row>
    <row r="28" spans="1:5" x14ac:dyDescent="0.35">
      <c r="A28">
        <v>327281</v>
      </c>
      <c r="B28" t="s">
        <v>39</v>
      </c>
      <c r="C28" t="s">
        <v>11</v>
      </c>
      <c r="D28" s="4">
        <v>0.24730632314597645</v>
      </c>
      <c r="E28">
        <v>1369</v>
      </c>
    </row>
    <row r="29" spans="1:5" x14ac:dyDescent="0.35">
      <c r="A29">
        <v>322632</v>
      </c>
      <c r="B29" t="s">
        <v>40</v>
      </c>
      <c r="C29" t="s">
        <v>11</v>
      </c>
      <c r="D29" s="4">
        <v>0.32684761111689392</v>
      </c>
      <c r="E29">
        <v>655</v>
      </c>
    </row>
    <row r="30" spans="1:5" x14ac:dyDescent="0.35">
      <c r="A30">
        <v>404904</v>
      </c>
      <c r="B30" t="s">
        <v>41</v>
      </c>
      <c r="C30" t="s">
        <v>11</v>
      </c>
      <c r="D30" s="4">
        <v>0.13002639341717126</v>
      </c>
      <c r="E30">
        <v>0</v>
      </c>
    </row>
    <row r="31" spans="1:5" x14ac:dyDescent="0.35">
      <c r="A31">
        <v>358973</v>
      </c>
      <c r="B31" t="s">
        <v>42</v>
      </c>
      <c r="C31" t="s">
        <v>11</v>
      </c>
      <c r="D31" s="4">
        <v>0.34769180713543818</v>
      </c>
      <c r="E31">
        <v>53</v>
      </c>
    </row>
    <row r="32" spans="1:5" x14ac:dyDescent="0.35">
      <c r="A32">
        <v>234394</v>
      </c>
      <c r="B32" t="s">
        <v>43</v>
      </c>
      <c r="C32" t="s">
        <v>11</v>
      </c>
      <c r="D32" s="4">
        <v>0.11959043276537877</v>
      </c>
      <c r="E32">
        <v>791</v>
      </c>
    </row>
    <row r="33" spans="1:5" x14ac:dyDescent="0.35">
      <c r="A33">
        <v>359121</v>
      </c>
      <c r="B33" t="s">
        <v>46</v>
      </c>
      <c r="C33" t="s">
        <v>11</v>
      </c>
      <c r="D33" s="4">
        <v>3.189035147238431E-2</v>
      </c>
      <c r="E33">
        <v>377</v>
      </c>
    </row>
    <row r="34" spans="1:5" x14ac:dyDescent="0.35">
      <c r="A34">
        <v>235110</v>
      </c>
      <c r="B34" t="s">
        <v>47</v>
      </c>
      <c r="C34" t="s">
        <v>11</v>
      </c>
      <c r="D34" s="4">
        <v>7.5953720307548697E-2</v>
      </c>
      <c r="E34">
        <v>175</v>
      </c>
    </row>
    <row r="35" spans="1:5" x14ac:dyDescent="0.35">
      <c r="A35">
        <v>5520961</v>
      </c>
      <c r="B35" t="s">
        <v>48</v>
      </c>
      <c r="C35" t="s">
        <v>11</v>
      </c>
      <c r="D35" s="4">
        <v>5.5810333805831176E-2</v>
      </c>
      <c r="E35">
        <v>0</v>
      </c>
    </row>
    <row r="36" spans="1:5" x14ac:dyDescent="0.35">
      <c r="A36">
        <v>407373</v>
      </c>
      <c r="B36" t="s">
        <v>49</v>
      </c>
      <c r="C36" t="s">
        <v>11</v>
      </c>
      <c r="D36" s="4">
        <v>3.7415953175639727E-2</v>
      </c>
      <c r="E36">
        <v>0</v>
      </c>
    </row>
    <row r="37" spans="1:5" x14ac:dyDescent="0.35">
      <c r="A37">
        <v>42439</v>
      </c>
      <c r="B37" t="s">
        <v>96</v>
      </c>
      <c r="C37" t="s">
        <v>11</v>
      </c>
      <c r="D37" s="4">
        <v>2.117970983797522E-3</v>
      </c>
      <c r="E37">
        <v>230</v>
      </c>
    </row>
    <row r="38" spans="1:5" hidden="1" x14ac:dyDescent="0.35">
      <c r="A38">
        <v>438481</v>
      </c>
      <c r="B38" t="s">
        <v>50</v>
      </c>
      <c r="C38" t="s">
        <v>51</v>
      </c>
      <c r="D38" s="4">
        <v>0.1696557410843125</v>
      </c>
      <c r="E38">
        <v>0</v>
      </c>
    </row>
    <row r="39" spans="1:5" hidden="1" x14ac:dyDescent="0.35">
      <c r="A39">
        <v>752852</v>
      </c>
      <c r="B39" t="s">
        <v>52</v>
      </c>
      <c r="C39" t="s">
        <v>51</v>
      </c>
      <c r="D39" s="4">
        <v>0.84538105250480489</v>
      </c>
      <c r="E39">
        <v>2344</v>
      </c>
    </row>
    <row r="40" spans="1:5" hidden="1" x14ac:dyDescent="0.35">
      <c r="A40">
        <v>237326</v>
      </c>
      <c r="B40" t="s">
        <v>53</v>
      </c>
      <c r="C40" t="s">
        <v>51</v>
      </c>
      <c r="D40" s="4">
        <v>0.31940893844619705</v>
      </c>
      <c r="E40">
        <v>126</v>
      </c>
    </row>
    <row r="41" spans="1:5" hidden="1" x14ac:dyDescent="0.35">
      <c r="A41">
        <v>543860</v>
      </c>
      <c r="B41" t="s">
        <v>55</v>
      </c>
      <c r="C41" t="s">
        <v>51</v>
      </c>
      <c r="D41" s="4">
        <v>9.9510719686860594E-2</v>
      </c>
      <c r="E41">
        <v>666</v>
      </c>
    </row>
    <row r="42" spans="1:5" hidden="1" x14ac:dyDescent="0.35">
      <c r="A42">
        <v>443926</v>
      </c>
      <c r="B42" t="s">
        <v>56</v>
      </c>
      <c r="C42" t="s">
        <v>51</v>
      </c>
      <c r="D42" s="4">
        <v>0.10230324602964637</v>
      </c>
      <c r="E42">
        <v>88</v>
      </c>
    </row>
    <row r="43" spans="1:5" hidden="1" x14ac:dyDescent="0.35">
      <c r="A43">
        <v>358345</v>
      </c>
      <c r="B43" t="s">
        <v>57</v>
      </c>
      <c r="C43" t="s">
        <v>51</v>
      </c>
      <c r="D43" s="4">
        <v>0.35769697850388715</v>
      </c>
      <c r="E43">
        <v>199</v>
      </c>
    </row>
    <row r="44" spans="1:5" hidden="1" x14ac:dyDescent="0.35">
      <c r="A44">
        <v>359001</v>
      </c>
      <c r="B44" t="s">
        <v>58</v>
      </c>
      <c r="C44" t="s">
        <v>51</v>
      </c>
      <c r="D44" s="4">
        <v>0.19286393769137014</v>
      </c>
      <c r="E44">
        <v>23</v>
      </c>
    </row>
    <row r="45" spans="1:5" hidden="1" x14ac:dyDescent="0.35">
      <c r="A45">
        <v>443927</v>
      </c>
      <c r="B45" t="s">
        <v>59</v>
      </c>
      <c r="C45" t="s">
        <v>51</v>
      </c>
      <c r="D45" s="4">
        <v>0.13487186301051338</v>
      </c>
      <c r="E45">
        <v>186</v>
      </c>
    </row>
    <row r="46" spans="1:5" hidden="1" x14ac:dyDescent="0.35">
      <c r="A46">
        <v>469031</v>
      </c>
      <c r="B46" t="s">
        <v>60</v>
      </c>
      <c r="C46" t="s">
        <v>51</v>
      </c>
      <c r="D46" s="4">
        <v>0.21684439052423216</v>
      </c>
      <c r="E46">
        <v>129</v>
      </c>
    </row>
    <row r="47" spans="1:5" hidden="1" x14ac:dyDescent="0.35">
      <c r="A47">
        <v>198664</v>
      </c>
      <c r="B47" t="s">
        <v>61</v>
      </c>
      <c r="C47" t="s">
        <v>51</v>
      </c>
      <c r="D47" s="4">
        <v>0.24883633897036464</v>
      </c>
      <c r="E47">
        <v>3856</v>
      </c>
    </row>
    <row r="48" spans="1:5" hidden="1" x14ac:dyDescent="0.35">
      <c r="A48">
        <v>218247</v>
      </c>
      <c r="B48" t="s">
        <v>62</v>
      </c>
      <c r="C48" t="s">
        <v>51</v>
      </c>
      <c r="D48" s="4">
        <v>0.17974827139152982</v>
      </c>
      <c r="E48">
        <v>136</v>
      </c>
    </row>
    <row r="49" spans="1:5" hidden="1" x14ac:dyDescent="0.35">
      <c r="A49">
        <v>386197</v>
      </c>
      <c r="B49" t="s">
        <v>63</v>
      </c>
      <c r="C49" t="s">
        <v>51</v>
      </c>
      <c r="D49" s="4">
        <v>5.6531211831116097E-2</v>
      </c>
      <c r="E49">
        <v>13</v>
      </c>
    </row>
    <row r="50" spans="1:5" hidden="1" x14ac:dyDescent="0.35">
      <c r="A50">
        <v>232913</v>
      </c>
      <c r="B50" t="s">
        <v>64</v>
      </c>
      <c r="C50" t="s">
        <v>51</v>
      </c>
      <c r="D50" s="4">
        <v>0.10169990940154688</v>
      </c>
      <c r="E50">
        <v>5</v>
      </c>
    </row>
    <row r="51" spans="1:5" hidden="1" x14ac:dyDescent="0.35">
      <c r="A51">
        <v>423616</v>
      </c>
      <c r="B51" t="s">
        <v>65</v>
      </c>
      <c r="C51" t="s">
        <v>51</v>
      </c>
      <c r="D51" s="4">
        <v>8.9024602502137395E-2</v>
      </c>
      <c r="E51">
        <v>24</v>
      </c>
    </row>
    <row r="52" spans="1:5" hidden="1" x14ac:dyDescent="0.35">
      <c r="A52">
        <v>330012</v>
      </c>
      <c r="B52" t="s">
        <v>66</v>
      </c>
      <c r="C52" t="s">
        <v>51</v>
      </c>
      <c r="D52" s="4">
        <v>8.189236037711918E-2</v>
      </c>
      <c r="E52">
        <v>1136</v>
      </c>
    </row>
    <row r="53" spans="1:5" hidden="1" x14ac:dyDescent="0.35">
      <c r="A53">
        <v>381917</v>
      </c>
      <c r="B53" t="s">
        <v>67</v>
      </c>
      <c r="C53" t="s">
        <v>51</v>
      </c>
      <c r="D53" s="4">
        <v>0.12085118745006899</v>
      </c>
      <c r="E53">
        <v>0</v>
      </c>
    </row>
    <row r="54" spans="1:5" hidden="1" x14ac:dyDescent="0.35">
      <c r="A54">
        <v>552264</v>
      </c>
      <c r="B54" t="s">
        <v>68</v>
      </c>
      <c r="C54" t="s">
        <v>51</v>
      </c>
      <c r="D54" s="4">
        <v>0.20527035678947675</v>
      </c>
      <c r="E54">
        <v>13</v>
      </c>
    </row>
    <row r="55" spans="1:5" hidden="1" x14ac:dyDescent="0.35">
      <c r="A55">
        <v>443928</v>
      </c>
      <c r="B55" t="s">
        <v>69</v>
      </c>
      <c r="C55" t="s">
        <v>51</v>
      </c>
      <c r="D55" s="4">
        <v>5.7220181712739224E-2</v>
      </c>
      <c r="E55">
        <v>0</v>
      </c>
    </row>
    <row r="56" spans="1:5" hidden="1" x14ac:dyDescent="0.35">
      <c r="A56">
        <v>232420</v>
      </c>
      <c r="B56" t="s">
        <v>70</v>
      </c>
      <c r="C56" t="s">
        <v>51</v>
      </c>
      <c r="D56" s="4">
        <v>5.0970023255073112E-2</v>
      </c>
      <c r="E56">
        <v>327</v>
      </c>
    </row>
    <row r="57" spans="1:5" hidden="1" x14ac:dyDescent="0.35">
      <c r="A57">
        <v>1214237</v>
      </c>
      <c r="B57" t="s">
        <v>71</v>
      </c>
      <c r="C57" t="s">
        <v>51</v>
      </c>
      <c r="D57" s="4">
        <v>4.6827219472656487E-2</v>
      </c>
      <c r="E57">
        <v>67</v>
      </c>
    </row>
    <row r="58" spans="1:5" hidden="1" x14ac:dyDescent="0.35">
      <c r="A58">
        <v>441155</v>
      </c>
      <c r="B58" t="s">
        <v>72</v>
      </c>
      <c r="C58" t="s">
        <v>51</v>
      </c>
      <c r="D58" s="4">
        <v>0.12683294712962456</v>
      </c>
      <c r="E58">
        <v>200</v>
      </c>
    </row>
    <row r="59" spans="1:5" hidden="1" x14ac:dyDescent="0.35">
      <c r="A59">
        <v>445325</v>
      </c>
      <c r="B59" t="s">
        <v>73</v>
      </c>
      <c r="C59" t="s">
        <v>51</v>
      </c>
      <c r="D59" s="4">
        <v>0.10498470314908104</v>
      </c>
      <c r="E59">
        <v>0</v>
      </c>
    </row>
    <row r="60" spans="1:5" hidden="1" x14ac:dyDescent="0.35">
      <c r="A60">
        <v>358949</v>
      </c>
      <c r="B60" t="s">
        <v>74</v>
      </c>
      <c r="C60" t="s">
        <v>51</v>
      </c>
      <c r="D60" s="4">
        <v>7.0329120260292824E-2</v>
      </c>
      <c r="E60">
        <v>2</v>
      </c>
    </row>
    <row r="61" spans="1:5" hidden="1" x14ac:dyDescent="0.35">
      <c r="A61">
        <v>195698</v>
      </c>
      <c r="B61" t="s">
        <v>75</v>
      </c>
      <c r="C61" t="s">
        <v>51</v>
      </c>
      <c r="D61" s="4">
        <v>2.9684024800884681E-2</v>
      </c>
      <c r="E61">
        <v>122</v>
      </c>
    </row>
    <row r="62" spans="1:5" hidden="1" x14ac:dyDescent="0.35">
      <c r="A62">
        <v>587965</v>
      </c>
      <c r="B62" t="s">
        <v>76</v>
      </c>
      <c r="C62" t="s">
        <v>51</v>
      </c>
      <c r="D62" s="4">
        <v>2.3042084911407156E-3</v>
      </c>
      <c r="E62">
        <v>0</v>
      </c>
    </row>
    <row r="63" spans="1:5" hidden="1" x14ac:dyDescent="0.35">
      <c r="A63">
        <v>232415</v>
      </c>
      <c r="B63" t="s">
        <v>78</v>
      </c>
      <c r="C63" t="s">
        <v>122</v>
      </c>
      <c r="D63" s="4">
        <v>2.9114311982837877E-3</v>
      </c>
    </row>
    <row r="64" spans="1:5" hidden="1" x14ac:dyDescent="0.35">
      <c r="A64">
        <v>195590</v>
      </c>
      <c r="B64" t="s">
        <v>79</v>
      </c>
      <c r="C64" t="s">
        <v>51</v>
      </c>
      <c r="D64" s="4">
        <v>6.8647372178593001E-3</v>
      </c>
      <c r="E64">
        <v>8</v>
      </c>
    </row>
    <row r="65" spans="1:5" hidden="1" x14ac:dyDescent="0.35">
      <c r="A65">
        <v>195649</v>
      </c>
      <c r="B65" t="s">
        <v>80</v>
      </c>
      <c r="C65" t="s">
        <v>122</v>
      </c>
      <c r="D65" s="4">
        <v>3.4756703078450842E-3</v>
      </c>
    </row>
    <row r="66" spans="1:5" hidden="1" x14ac:dyDescent="0.35">
      <c r="A66">
        <v>333776</v>
      </c>
      <c r="B66" t="s">
        <v>97</v>
      </c>
      <c r="C66" t="s">
        <v>122</v>
      </c>
      <c r="D66" s="4">
        <v>2.0822313056023084E-2</v>
      </c>
    </row>
    <row r="67" spans="1:5" hidden="1" x14ac:dyDescent="0.35">
      <c r="A67">
        <v>471764</v>
      </c>
      <c r="B67" t="s">
        <v>108</v>
      </c>
      <c r="C67" t="e">
        <v>#N/A</v>
      </c>
      <c r="D67" s="4">
        <v>0</v>
      </c>
    </row>
    <row r="68" spans="1:5" hidden="1" x14ac:dyDescent="0.35">
      <c r="A68">
        <v>207497</v>
      </c>
      <c r="B68" t="s">
        <v>110</v>
      </c>
      <c r="C68" t="s">
        <v>51</v>
      </c>
      <c r="D68" s="4">
        <v>0.28075782415679629</v>
      </c>
      <c r="E68">
        <v>147</v>
      </c>
    </row>
    <row r="69" spans="1:5" hidden="1" x14ac:dyDescent="0.35">
      <c r="A69">
        <v>7031</v>
      </c>
      <c r="B69" t="s">
        <v>12</v>
      </c>
      <c r="C69" t="s">
        <v>122</v>
      </c>
      <c r="D69" s="4">
        <v>2.3575354353485681E-2</v>
      </c>
    </row>
    <row r="70" spans="1:5" hidden="1" x14ac:dyDescent="0.35">
      <c r="A70">
        <v>338733</v>
      </c>
      <c r="B70" t="s">
        <v>44</v>
      </c>
      <c r="C70" t="s">
        <v>122</v>
      </c>
      <c r="D70" s="4">
        <v>7.2336901874963028E-2</v>
      </c>
    </row>
    <row r="71" spans="1:5" hidden="1" x14ac:dyDescent="0.35">
      <c r="A71">
        <v>338707</v>
      </c>
      <c r="B71" t="s">
        <v>45</v>
      </c>
      <c r="C71" t="s">
        <v>122</v>
      </c>
      <c r="D71" s="4">
        <v>7.5333620318553595E-3</v>
      </c>
    </row>
    <row r="72" spans="1:5" hidden="1" x14ac:dyDescent="0.35">
      <c r="A72">
        <v>469381</v>
      </c>
      <c r="B72" t="s">
        <v>54</v>
      </c>
      <c r="C72" t="s">
        <v>122</v>
      </c>
      <c r="D72" s="4">
        <v>5.2391244786751501E-2</v>
      </c>
    </row>
    <row r="73" spans="1:5" hidden="1" x14ac:dyDescent="0.35">
      <c r="A73">
        <v>762793</v>
      </c>
      <c r="B73" t="s">
        <v>77</v>
      </c>
      <c r="C73" t="s">
        <v>122</v>
      </c>
      <c r="D73" s="4">
        <v>1.3861867704280155E-2</v>
      </c>
    </row>
    <row r="74" spans="1:5" hidden="1" x14ac:dyDescent="0.35">
      <c r="A74">
        <v>380173</v>
      </c>
      <c r="B74" t="s">
        <v>81</v>
      </c>
      <c r="C74" t="s">
        <v>51</v>
      </c>
      <c r="D74" s="4">
        <v>5.8637017585518141E-2</v>
      </c>
      <c r="E74">
        <v>0</v>
      </c>
    </row>
    <row r="75" spans="1:5" hidden="1" x14ac:dyDescent="0.35">
      <c r="A75">
        <v>179013</v>
      </c>
      <c r="B75" t="s">
        <v>82</v>
      </c>
      <c r="C75" t="s">
        <v>51</v>
      </c>
      <c r="D75" s="4">
        <v>2.5010346006441513E-2</v>
      </c>
      <c r="E75">
        <v>0</v>
      </c>
    </row>
    <row r="76" spans="1:5" hidden="1" x14ac:dyDescent="0.35">
      <c r="A76">
        <v>681443</v>
      </c>
      <c r="B76" t="s">
        <v>83</v>
      </c>
      <c r="C76" t="s">
        <v>51</v>
      </c>
      <c r="D76" s="4">
        <v>1.2622868184491305E-2</v>
      </c>
      <c r="E76">
        <v>0</v>
      </c>
    </row>
    <row r="77" spans="1:5" hidden="1" x14ac:dyDescent="0.35">
      <c r="A77">
        <v>338734</v>
      </c>
      <c r="B77" t="s">
        <v>84</v>
      </c>
      <c r="C77" t="s">
        <v>122</v>
      </c>
      <c r="D77" s="4">
        <v>0.1017526777020448</v>
      </c>
    </row>
    <row r="78" spans="1:5" hidden="1" x14ac:dyDescent="0.35">
      <c r="A78">
        <v>234857</v>
      </c>
      <c r="B78" t="s">
        <v>85</v>
      </c>
      <c r="C78" t="s">
        <v>122</v>
      </c>
      <c r="D78" s="4">
        <v>0.26583497242204585</v>
      </c>
    </row>
    <row r="79" spans="1:5" hidden="1" x14ac:dyDescent="0.35">
      <c r="A79">
        <v>405727</v>
      </c>
      <c r="B79" t="s">
        <v>86</v>
      </c>
      <c r="C79" t="s">
        <v>122</v>
      </c>
      <c r="D79" s="4">
        <v>9.5141337476842169E-2</v>
      </c>
    </row>
    <row r="80" spans="1:5" hidden="1" x14ac:dyDescent="0.35">
      <c r="A80">
        <v>338739</v>
      </c>
      <c r="B80" t="s">
        <v>87</v>
      </c>
      <c r="C80" t="s">
        <v>122</v>
      </c>
      <c r="D80" s="4">
        <v>0.34854595627255358</v>
      </c>
    </row>
    <row r="81" spans="1:5" hidden="1" x14ac:dyDescent="0.35">
      <c r="A81">
        <v>200355</v>
      </c>
      <c r="B81" t="s">
        <v>88</v>
      </c>
      <c r="C81" t="s">
        <v>122</v>
      </c>
      <c r="D81" s="4">
        <v>0.55029084949664131</v>
      </c>
    </row>
    <row r="82" spans="1:5" hidden="1" x14ac:dyDescent="0.35">
      <c r="A82">
        <v>487757</v>
      </c>
      <c r="B82" t="s">
        <v>89</v>
      </c>
      <c r="C82" t="s">
        <v>51</v>
      </c>
      <c r="D82" s="4">
        <v>5.2312199204854574E-3</v>
      </c>
      <c r="E82">
        <v>0</v>
      </c>
    </row>
    <row r="83" spans="1:5" hidden="1" x14ac:dyDescent="0.35">
      <c r="A83">
        <v>246265</v>
      </c>
      <c r="B83" t="s">
        <v>90</v>
      </c>
      <c r="C83" t="s">
        <v>122</v>
      </c>
      <c r="D83" s="4">
        <v>0.3218832482347368</v>
      </c>
    </row>
    <row r="84" spans="1:5" hidden="1" x14ac:dyDescent="0.35">
      <c r="A84">
        <v>495682</v>
      </c>
      <c r="B84" t="s">
        <v>91</v>
      </c>
      <c r="C84" t="s">
        <v>122</v>
      </c>
      <c r="D84" s="4">
        <v>0.12916821618941365</v>
      </c>
    </row>
    <row r="85" spans="1:5" hidden="1" x14ac:dyDescent="0.35">
      <c r="A85">
        <v>553948</v>
      </c>
      <c r="B85" t="s">
        <v>92</v>
      </c>
      <c r="C85" t="s">
        <v>122</v>
      </c>
      <c r="D85" s="4">
        <v>0.10193708956790308</v>
      </c>
    </row>
    <row r="86" spans="1:5" hidden="1" x14ac:dyDescent="0.35">
      <c r="A86">
        <v>359300</v>
      </c>
      <c r="B86" t="s">
        <v>93</v>
      </c>
      <c r="C86" t="s">
        <v>51</v>
      </c>
      <c r="D86" s="4">
        <v>5.3559289113333984E-2</v>
      </c>
      <c r="E86">
        <v>1</v>
      </c>
    </row>
    <row r="87" spans="1:5" hidden="1" x14ac:dyDescent="0.35">
      <c r="A87">
        <v>427346</v>
      </c>
      <c r="B87" t="s">
        <v>94</v>
      </c>
      <c r="C87" t="s">
        <v>122</v>
      </c>
      <c r="D87" s="4">
        <v>3.1958857562677932E-2</v>
      </c>
    </row>
    <row r="88" spans="1:5" hidden="1" x14ac:dyDescent="0.35">
      <c r="A88">
        <v>528992</v>
      </c>
      <c r="B88" t="s">
        <v>95</v>
      </c>
      <c r="C88" t="s">
        <v>122</v>
      </c>
      <c r="D88" s="4">
        <v>9.6478635365647696E-3</v>
      </c>
    </row>
    <row r="89" spans="1:5" hidden="1" x14ac:dyDescent="0.35">
      <c r="A89">
        <v>395321</v>
      </c>
      <c r="B89" t="s">
        <v>98</v>
      </c>
      <c r="C89" t="s">
        <v>122</v>
      </c>
      <c r="D89" s="4">
        <v>6.1222158766419191E-2</v>
      </c>
    </row>
    <row r="90" spans="1:5" hidden="1" x14ac:dyDescent="0.35">
      <c r="A90">
        <v>422027</v>
      </c>
      <c r="B90" t="s">
        <v>99</v>
      </c>
      <c r="C90" t="s">
        <v>122</v>
      </c>
      <c r="D90" s="4">
        <v>6.0015003750937733E-2</v>
      </c>
    </row>
    <row r="91" spans="1:5" hidden="1" x14ac:dyDescent="0.35">
      <c r="A91">
        <v>523737</v>
      </c>
      <c r="B91" t="s">
        <v>100</v>
      </c>
      <c r="C91" t="s">
        <v>122</v>
      </c>
      <c r="D91" s="4">
        <v>0.140625</v>
      </c>
    </row>
    <row r="92" spans="1:5" hidden="1" x14ac:dyDescent="0.35">
      <c r="A92">
        <v>587210</v>
      </c>
      <c r="B92" t="s">
        <v>101</v>
      </c>
      <c r="C92" t="s">
        <v>122</v>
      </c>
      <c r="D92" s="4">
        <v>0.28947368421052633</v>
      </c>
    </row>
    <row r="93" spans="1:5" hidden="1" x14ac:dyDescent="0.35">
      <c r="A93">
        <v>587216</v>
      </c>
      <c r="B93" t="s">
        <v>102</v>
      </c>
      <c r="C93" t="s">
        <v>122</v>
      </c>
      <c r="D93" s="4">
        <v>8.3817506429183734E-3</v>
      </c>
    </row>
    <row r="94" spans="1:5" hidden="1" x14ac:dyDescent="0.35">
      <c r="A94">
        <v>423761</v>
      </c>
      <c r="B94" t="s">
        <v>106</v>
      </c>
      <c r="C94" t="s">
        <v>122</v>
      </c>
      <c r="D94" s="4">
        <v>0.99994341651106211</v>
      </c>
    </row>
    <row r="95" spans="1:5" hidden="1" x14ac:dyDescent="0.35">
      <c r="A95">
        <v>681924</v>
      </c>
      <c r="B95" t="s">
        <v>107</v>
      </c>
      <c r="C95" t="s">
        <v>122</v>
      </c>
      <c r="D95" s="4">
        <v>0</v>
      </c>
    </row>
    <row r="96" spans="1:5" hidden="1" x14ac:dyDescent="0.35">
      <c r="A96">
        <v>404848</v>
      </c>
      <c r="B96" t="s">
        <v>111</v>
      </c>
      <c r="C96" t="s">
        <v>122</v>
      </c>
      <c r="D96" s="4">
        <v>1</v>
      </c>
    </row>
    <row r="97" spans="1:4" hidden="1" x14ac:dyDescent="0.35">
      <c r="A97">
        <v>197955</v>
      </c>
      <c r="B97" t="s">
        <v>112</v>
      </c>
      <c r="C97" t="s">
        <v>122</v>
      </c>
      <c r="D97" s="4">
        <v>0</v>
      </c>
    </row>
    <row r="98" spans="1:4" hidden="1" x14ac:dyDescent="0.35">
      <c r="A98">
        <v>232763</v>
      </c>
      <c r="B98" t="s">
        <v>113</v>
      </c>
      <c r="C98" t="s">
        <v>122</v>
      </c>
      <c r="D98" s="4">
        <v>8.7405541561712846E-2</v>
      </c>
    </row>
    <row r="99" spans="1:4" hidden="1" x14ac:dyDescent="0.35">
      <c r="A99">
        <v>338677</v>
      </c>
      <c r="B99" t="s">
        <v>114</v>
      </c>
      <c r="C99" t="s">
        <v>122</v>
      </c>
      <c r="D99" s="4">
        <v>0.17966666666666667</v>
      </c>
    </row>
    <row r="100" spans="1:4" hidden="1" x14ac:dyDescent="0.35">
      <c r="A100">
        <v>356938</v>
      </c>
      <c r="B100" t="s">
        <v>115</v>
      </c>
      <c r="C100" t="s">
        <v>122</v>
      </c>
      <c r="D100" s="4">
        <v>1</v>
      </c>
    </row>
    <row r="101" spans="1:4" x14ac:dyDescent="0.35">
      <c r="A101">
        <v>69913</v>
      </c>
      <c r="B101" t="s">
        <v>123</v>
      </c>
      <c r="C101" s="4" t="s">
        <v>11</v>
      </c>
      <c r="D101" s="4">
        <v>0.16048416344294003</v>
      </c>
    </row>
    <row r="102" spans="1:4" x14ac:dyDescent="0.35">
      <c r="A102">
        <v>553970</v>
      </c>
      <c r="B102" t="s">
        <v>124</v>
      </c>
      <c r="C102" s="4" t="s">
        <v>11</v>
      </c>
      <c r="D102" s="4">
        <v>1.0268521846280227E-4</v>
      </c>
    </row>
    <row r="103" spans="1:4" x14ac:dyDescent="0.35">
      <c r="A103">
        <v>553949</v>
      </c>
      <c r="B103" t="s">
        <v>125</v>
      </c>
      <c r="C103" s="4" t="s">
        <v>11</v>
      </c>
      <c r="D103" s="4">
        <v>4.8601398601398598E-3</v>
      </c>
    </row>
    <row r="104" spans="1:4" x14ac:dyDescent="0.35">
      <c r="A104">
        <v>553946</v>
      </c>
      <c r="B104" t="s">
        <v>126</v>
      </c>
      <c r="C104" s="4" t="s">
        <v>11</v>
      </c>
      <c r="D104" s="4">
        <v>0</v>
      </c>
    </row>
    <row r="105" spans="1:4" x14ac:dyDescent="0.35">
      <c r="A105">
        <v>553883</v>
      </c>
      <c r="B105" t="s">
        <v>127</v>
      </c>
      <c r="C105" s="4" t="s">
        <v>11</v>
      </c>
      <c r="D105" s="4">
        <v>1.7052921102225845E-2</v>
      </c>
    </row>
    <row r="106" spans="1:4" x14ac:dyDescent="0.35">
      <c r="A106">
        <v>98972</v>
      </c>
      <c r="B106" t="s">
        <v>128</v>
      </c>
      <c r="C106" s="4" t="s">
        <v>11</v>
      </c>
      <c r="D106" s="4">
        <v>3.0456480258329664E-2</v>
      </c>
    </row>
    <row r="107" spans="1:4" x14ac:dyDescent="0.35">
      <c r="A107">
        <v>553886</v>
      </c>
      <c r="B107" t="s">
        <v>129</v>
      </c>
      <c r="C107" s="4" t="s">
        <v>11</v>
      </c>
      <c r="D107" s="4">
        <v>0.24447255484762179</v>
      </c>
    </row>
    <row r="108" spans="1:4" x14ac:dyDescent="0.35">
      <c r="A108">
        <v>553874</v>
      </c>
      <c r="B108" t="s">
        <v>130</v>
      </c>
      <c r="C108" s="4" t="s">
        <v>11</v>
      </c>
      <c r="D108" s="4">
        <v>1.9044716995505448E-4</v>
      </c>
    </row>
    <row r="109" spans="1:4" x14ac:dyDescent="0.35">
      <c r="A109">
        <v>553889</v>
      </c>
      <c r="B109" t="s">
        <v>131</v>
      </c>
      <c r="C109" s="4" t="s">
        <v>11</v>
      </c>
      <c r="D109" s="4">
        <v>1.6205420827389444E-3</v>
      </c>
    </row>
  </sheetData>
  <autoFilter ref="A1:E109" xr:uid="{BBCA1BC3-CCAA-4542-B291-474977EC0D10}">
    <filterColumn colId="2">
      <filters>
        <filter val="Siddhar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B575-5BEF-4BB6-B268-6B242DB354B4}">
  <dimension ref="A1:J42"/>
  <sheetViews>
    <sheetView workbookViewId="0">
      <selection activeCell="G9" sqref="G9"/>
    </sheetView>
  </sheetViews>
  <sheetFormatPr defaultRowHeight="14.5" x14ac:dyDescent="0.35"/>
  <cols>
    <col min="1" max="1" width="14" bestFit="1" customWidth="1"/>
    <col min="5" max="5" width="8.7265625" style="4"/>
    <col min="8" max="8" width="21.08984375" bestFit="1" customWidth="1"/>
  </cols>
  <sheetData>
    <row r="1" spans="1:10" x14ac:dyDescent="0.35">
      <c r="A1" t="s">
        <v>139</v>
      </c>
      <c r="B1" t="s">
        <v>0</v>
      </c>
      <c r="C1" t="s">
        <v>1</v>
      </c>
      <c r="D1" t="s">
        <v>2</v>
      </c>
      <c r="E1" s="4" t="s">
        <v>6</v>
      </c>
      <c r="F1" t="s">
        <v>121</v>
      </c>
      <c r="G1" t="s">
        <v>146</v>
      </c>
      <c r="H1" t="s">
        <v>140</v>
      </c>
      <c r="I1">
        <v>12</v>
      </c>
      <c r="J1" t="s">
        <v>144</v>
      </c>
    </row>
    <row r="2" spans="1:10" x14ac:dyDescent="0.35">
      <c r="A2" t="s">
        <v>132</v>
      </c>
      <c r="B2">
        <v>326424</v>
      </c>
      <c r="C2" t="s">
        <v>10</v>
      </c>
      <c r="D2" t="s">
        <v>11</v>
      </c>
      <c r="E2" s="4">
        <v>0.4953574985925252</v>
      </c>
      <c r="F2">
        <v>998</v>
      </c>
      <c r="H2" s="17" t="s">
        <v>141</v>
      </c>
      <c r="I2" s="17">
        <v>5</v>
      </c>
    </row>
    <row r="3" spans="1:10" x14ac:dyDescent="0.35">
      <c r="A3" t="s">
        <v>132</v>
      </c>
      <c r="B3">
        <v>326433</v>
      </c>
      <c r="C3" t="s">
        <v>32</v>
      </c>
      <c r="D3" t="s">
        <v>11</v>
      </c>
      <c r="E3" s="4">
        <v>0.34894436997319034</v>
      </c>
      <c r="F3">
        <v>0</v>
      </c>
      <c r="H3" s="20" t="s">
        <v>142</v>
      </c>
      <c r="I3" s="20">
        <v>3</v>
      </c>
    </row>
    <row r="4" spans="1:10" x14ac:dyDescent="0.35">
      <c r="A4" t="s">
        <v>132</v>
      </c>
      <c r="B4">
        <v>326425</v>
      </c>
      <c r="C4" t="s">
        <v>14</v>
      </c>
      <c r="D4" t="s">
        <v>11</v>
      </c>
      <c r="E4" s="4">
        <v>0.31344226442696654</v>
      </c>
      <c r="F4">
        <v>406</v>
      </c>
      <c r="H4" s="22" t="s">
        <v>143</v>
      </c>
      <c r="I4" s="22">
        <v>4</v>
      </c>
    </row>
    <row r="5" spans="1:10" x14ac:dyDescent="0.35">
      <c r="A5" t="s">
        <v>132</v>
      </c>
      <c r="B5">
        <v>326429</v>
      </c>
      <c r="C5" t="s">
        <v>25</v>
      </c>
      <c r="D5" t="s">
        <v>11</v>
      </c>
      <c r="E5" s="4">
        <v>0.25080132253918735</v>
      </c>
      <c r="F5">
        <v>5272</v>
      </c>
    </row>
    <row r="6" spans="1:10" x14ac:dyDescent="0.35">
      <c r="A6" t="s">
        <v>132</v>
      </c>
      <c r="B6">
        <v>327281</v>
      </c>
      <c r="C6" t="s">
        <v>39</v>
      </c>
      <c r="D6" t="s">
        <v>11</v>
      </c>
      <c r="E6" s="4">
        <v>0.24730632314597645</v>
      </c>
      <c r="F6">
        <v>1369</v>
      </c>
    </row>
    <row r="7" spans="1:10" x14ac:dyDescent="0.35">
      <c r="A7" t="s">
        <v>132</v>
      </c>
      <c r="B7">
        <v>110955</v>
      </c>
      <c r="C7" t="s">
        <v>20</v>
      </c>
      <c r="D7" t="s">
        <v>11</v>
      </c>
      <c r="E7" s="4">
        <v>0.22103748746460855</v>
      </c>
      <c r="F7">
        <v>22149</v>
      </c>
    </row>
    <row r="8" spans="1:10" x14ac:dyDescent="0.35">
      <c r="A8" t="s">
        <v>42</v>
      </c>
      <c r="B8">
        <v>358973</v>
      </c>
      <c r="C8" t="s">
        <v>42</v>
      </c>
      <c r="D8" t="s">
        <v>11</v>
      </c>
      <c r="E8" s="4">
        <v>0.34769180713543818</v>
      </c>
      <c r="F8">
        <v>53</v>
      </c>
    </row>
    <row r="9" spans="1:10" x14ac:dyDescent="0.35">
      <c r="A9" t="s">
        <v>42</v>
      </c>
      <c r="B9">
        <v>422074</v>
      </c>
      <c r="C9" t="s">
        <v>36</v>
      </c>
      <c r="D9" t="s">
        <v>11</v>
      </c>
      <c r="E9" s="4">
        <v>0.244230013007048</v>
      </c>
      <c r="F9">
        <v>0</v>
      </c>
    </row>
    <row r="10" spans="1:10" x14ac:dyDescent="0.35">
      <c r="A10" t="s">
        <v>40</v>
      </c>
      <c r="B10">
        <v>326694</v>
      </c>
      <c r="C10" t="s">
        <v>24</v>
      </c>
      <c r="D10" t="s">
        <v>11</v>
      </c>
      <c r="E10" s="4">
        <v>0.45759642614973478</v>
      </c>
      <c r="F10">
        <v>91</v>
      </c>
    </row>
    <row r="11" spans="1:10" x14ac:dyDescent="0.35">
      <c r="A11" t="s">
        <v>40</v>
      </c>
      <c r="B11">
        <v>322632</v>
      </c>
      <c r="C11" t="s">
        <v>40</v>
      </c>
      <c r="D11" t="s">
        <v>11</v>
      </c>
      <c r="E11" s="4">
        <v>0.32684761111689392</v>
      </c>
      <c r="F11">
        <v>655</v>
      </c>
    </row>
    <row r="12" spans="1:10" x14ac:dyDescent="0.35">
      <c r="A12" t="s">
        <v>40</v>
      </c>
      <c r="B12">
        <v>326696</v>
      </c>
      <c r="C12" t="s">
        <v>16</v>
      </c>
      <c r="D12" t="s">
        <v>11</v>
      </c>
      <c r="E12" s="4">
        <v>0.11161970509886317</v>
      </c>
      <c r="F12">
        <v>0</v>
      </c>
    </row>
    <row r="13" spans="1:10" x14ac:dyDescent="0.35">
      <c r="A13" s="17" t="s">
        <v>46</v>
      </c>
      <c r="B13" s="17">
        <v>359121</v>
      </c>
      <c r="C13" s="17" t="s">
        <v>46</v>
      </c>
      <c r="D13" s="17" t="s">
        <v>11</v>
      </c>
      <c r="E13" s="18">
        <v>3.189035147238431E-2</v>
      </c>
      <c r="F13" s="17">
        <v>377</v>
      </c>
      <c r="G13" t="s">
        <v>145</v>
      </c>
    </row>
    <row r="14" spans="1:10" x14ac:dyDescent="0.35">
      <c r="A14" s="17" t="s">
        <v>133</v>
      </c>
      <c r="B14" s="17">
        <v>239515</v>
      </c>
      <c r="C14" s="17" t="s">
        <v>28</v>
      </c>
      <c r="D14" s="17" t="s">
        <v>11</v>
      </c>
      <c r="E14" s="18">
        <v>0.44157186617164751</v>
      </c>
      <c r="F14" s="17">
        <v>2</v>
      </c>
      <c r="G14" t="s">
        <v>145</v>
      </c>
    </row>
    <row r="15" spans="1:10" x14ac:dyDescent="0.35">
      <c r="A15" s="17" t="s">
        <v>136</v>
      </c>
      <c r="B15" s="17">
        <v>220338</v>
      </c>
      <c r="C15" s="17" t="s">
        <v>34</v>
      </c>
      <c r="D15" s="17" t="s">
        <v>11</v>
      </c>
      <c r="E15" s="18">
        <v>0.16364967859177088</v>
      </c>
      <c r="F15" s="17">
        <v>69</v>
      </c>
      <c r="G15" t="s">
        <v>145</v>
      </c>
    </row>
    <row r="16" spans="1:10" x14ac:dyDescent="0.35">
      <c r="A16" s="20" t="s">
        <v>137</v>
      </c>
      <c r="B16" s="20">
        <v>382186</v>
      </c>
      <c r="C16" s="20" t="s">
        <v>31</v>
      </c>
      <c r="D16" s="20" t="s">
        <v>11</v>
      </c>
      <c r="E16" s="21">
        <v>8.0879076104256598E-2</v>
      </c>
      <c r="F16" s="20">
        <v>96</v>
      </c>
      <c r="G16" t="s">
        <v>145</v>
      </c>
    </row>
    <row r="17" spans="1:7" x14ac:dyDescent="0.35">
      <c r="A17" s="20" t="s">
        <v>135</v>
      </c>
      <c r="B17" s="20">
        <v>213407</v>
      </c>
      <c r="C17" s="20" t="s">
        <v>21</v>
      </c>
      <c r="D17" s="20" t="s">
        <v>11</v>
      </c>
      <c r="E17" s="21">
        <v>0.17851438480745285</v>
      </c>
      <c r="F17" s="20">
        <v>3</v>
      </c>
      <c r="G17" t="s">
        <v>145</v>
      </c>
    </row>
    <row r="18" spans="1:7" x14ac:dyDescent="0.35">
      <c r="A18" s="20" t="s">
        <v>135</v>
      </c>
      <c r="B18" s="20">
        <v>213405</v>
      </c>
      <c r="C18" s="20" t="s">
        <v>30</v>
      </c>
      <c r="D18" s="20" t="s">
        <v>11</v>
      </c>
      <c r="E18" s="21">
        <v>0.10249776810442013</v>
      </c>
      <c r="F18" s="20">
        <v>1</v>
      </c>
      <c r="G18" t="s">
        <v>145</v>
      </c>
    </row>
    <row r="19" spans="1:7" x14ac:dyDescent="0.35">
      <c r="A19" s="17" t="s">
        <v>96</v>
      </c>
      <c r="B19" s="17">
        <v>407373</v>
      </c>
      <c r="C19" s="17" t="s">
        <v>49</v>
      </c>
      <c r="D19" s="17" t="s">
        <v>11</v>
      </c>
      <c r="E19" s="18">
        <v>3.7415953175639727E-2</v>
      </c>
      <c r="F19" s="17">
        <v>0</v>
      </c>
      <c r="G19" t="s">
        <v>145</v>
      </c>
    </row>
    <row r="20" spans="1:7" x14ac:dyDescent="0.35">
      <c r="A20" s="17" t="s">
        <v>96</v>
      </c>
      <c r="B20" s="17">
        <v>42439</v>
      </c>
      <c r="C20" s="17" t="s">
        <v>96</v>
      </c>
      <c r="D20" s="17" t="s">
        <v>11</v>
      </c>
      <c r="E20" s="18">
        <v>2.117970983797522E-3</v>
      </c>
      <c r="F20" s="17">
        <v>230</v>
      </c>
      <c r="G20" t="s">
        <v>145</v>
      </c>
    </row>
    <row r="21" spans="1:7" x14ac:dyDescent="0.35">
      <c r="A21" t="s">
        <v>134</v>
      </c>
      <c r="B21">
        <v>553871</v>
      </c>
      <c r="C21" t="s">
        <v>22</v>
      </c>
      <c r="D21" t="s">
        <v>11</v>
      </c>
      <c r="E21" s="4">
        <v>0.43796610347333159</v>
      </c>
      <c r="F21">
        <v>360</v>
      </c>
    </row>
    <row r="22" spans="1:7" x14ac:dyDescent="0.35">
      <c r="A22" t="s">
        <v>134</v>
      </c>
      <c r="B22">
        <v>553886</v>
      </c>
      <c r="C22" t="s">
        <v>129</v>
      </c>
      <c r="D22" t="s">
        <v>11</v>
      </c>
      <c r="E22" s="4">
        <v>0.24447255484762179</v>
      </c>
    </row>
    <row r="23" spans="1:7" x14ac:dyDescent="0.35">
      <c r="A23" t="s">
        <v>134</v>
      </c>
      <c r="B23">
        <v>69913</v>
      </c>
      <c r="C23" t="s">
        <v>123</v>
      </c>
      <c r="D23" t="s">
        <v>11</v>
      </c>
      <c r="E23" s="4">
        <v>0.16048416344294003</v>
      </c>
    </row>
    <row r="24" spans="1:7" x14ac:dyDescent="0.35">
      <c r="A24" t="s">
        <v>134</v>
      </c>
      <c r="B24">
        <v>404904</v>
      </c>
      <c r="C24" t="s">
        <v>41</v>
      </c>
      <c r="D24" t="s">
        <v>11</v>
      </c>
      <c r="E24" s="4">
        <v>0.13002639341717126</v>
      </c>
      <c r="F24">
        <v>0</v>
      </c>
    </row>
    <row r="25" spans="1:7" x14ac:dyDescent="0.35">
      <c r="A25" t="s">
        <v>134</v>
      </c>
      <c r="B25">
        <v>498419</v>
      </c>
      <c r="C25" t="s">
        <v>27</v>
      </c>
      <c r="D25" t="s">
        <v>11</v>
      </c>
      <c r="E25" s="4">
        <v>0.12139643920674142</v>
      </c>
      <c r="F25">
        <v>36</v>
      </c>
    </row>
    <row r="26" spans="1:7" x14ac:dyDescent="0.35">
      <c r="A26" t="s">
        <v>134</v>
      </c>
      <c r="B26">
        <v>234394</v>
      </c>
      <c r="C26" t="s">
        <v>43</v>
      </c>
      <c r="D26" t="s">
        <v>11</v>
      </c>
      <c r="E26" s="4">
        <v>0.11959043276537877</v>
      </c>
      <c r="F26">
        <v>791</v>
      </c>
    </row>
    <row r="27" spans="1:7" x14ac:dyDescent="0.35">
      <c r="A27" t="s">
        <v>134</v>
      </c>
      <c r="B27">
        <v>245805</v>
      </c>
      <c r="C27" t="s">
        <v>29</v>
      </c>
      <c r="D27" t="s">
        <v>11</v>
      </c>
      <c r="E27" s="4">
        <v>0.11670624692287643</v>
      </c>
      <c r="F27">
        <v>176</v>
      </c>
    </row>
    <row r="28" spans="1:7" x14ac:dyDescent="0.35">
      <c r="A28" t="s">
        <v>134</v>
      </c>
      <c r="B28">
        <v>553982</v>
      </c>
      <c r="C28" t="s">
        <v>37</v>
      </c>
      <c r="D28" t="s">
        <v>11</v>
      </c>
      <c r="E28" s="4">
        <v>6.9218119300343842E-2</v>
      </c>
      <c r="F28">
        <v>0</v>
      </c>
    </row>
    <row r="29" spans="1:7" x14ac:dyDescent="0.35">
      <c r="A29" t="s">
        <v>134</v>
      </c>
      <c r="B29">
        <v>98972</v>
      </c>
      <c r="C29" t="s">
        <v>128</v>
      </c>
      <c r="D29" t="s">
        <v>11</v>
      </c>
      <c r="E29" s="4">
        <v>3.0456480258329664E-2</v>
      </c>
    </row>
    <row r="30" spans="1:7" x14ac:dyDescent="0.35">
      <c r="A30" t="s">
        <v>134</v>
      </c>
      <c r="B30">
        <v>553883</v>
      </c>
      <c r="C30" t="s">
        <v>127</v>
      </c>
      <c r="D30" t="s">
        <v>11</v>
      </c>
      <c r="E30" s="4">
        <v>1.7052921102225845E-2</v>
      </c>
    </row>
    <row r="31" spans="1:7" x14ac:dyDescent="0.35">
      <c r="A31" t="s">
        <v>134</v>
      </c>
      <c r="B31">
        <v>553949</v>
      </c>
      <c r="C31" t="s">
        <v>125</v>
      </c>
      <c r="D31" t="s">
        <v>11</v>
      </c>
      <c r="E31" s="4">
        <v>4.8601398601398598E-3</v>
      </c>
    </row>
    <row r="32" spans="1:7" x14ac:dyDescent="0.35">
      <c r="A32" t="s">
        <v>134</v>
      </c>
      <c r="B32">
        <v>553889</v>
      </c>
      <c r="C32" t="s">
        <v>131</v>
      </c>
      <c r="D32" t="s">
        <v>11</v>
      </c>
      <c r="E32" s="4">
        <v>1.6205420827389444E-3</v>
      </c>
    </row>
    <row r="33" spans="1:7" x14ac:dyDescent="0.35">
      <c r="A33" t="s">
        <v>134</v>
      </c>
      <c r="B33">
        <v>553874</v>
      </c>
      <c r="C33" t="s">
        <v>130</v>
      </c>
      <c r="D33" t="s">
        <v>11</v>
      </c>
      <c r="E33" s="4">
        <v>1.9044716995505448E-4</v>
      </c>
    </row>
    <row r="34" spans="1:7" x14ac:dyDescent="0.35">
      <c r="A34" t="s">
        <v>134</v>
      </c>
      <c r="B34">
        <v>553970</v>
      </c>
      <c r="C34" t="s">
        <v>124</v>
      </c>
      <c r="D34" t="s">
        <v>11</v>
      </c>
      <c r="E34" s="4">
        <v>1.0268521846280227E-4</v>
      </c>
    </row>
    <row r="35" spans="1:7" x14ac:dyDescent="0.35">
      <c r="A35" t="s">
        <v>134</v>
      </c>
      <c r="B35">
        <v>553946</v>
      </c>
      <c r="C35" t="s">
        <v>126</v>
      </c>
      <c r="D35" t="s">
        <v>11</v>
      </c>
      <c r="E35" s="4">
        <v>0</v>
      </c>
    </row>
    <row r="36" spans="1:7" x14ac:dyDescent="0.35">
      <c r="A36" s="22" t="s">
        <v>15</v>
      </c>
      <c r="B36" s="22">
        <v>242269</v>
      </c>
      <c r="C36" s="22" t="s">
        <v>15</v>
      </c>
      <c r="D36" s="22" t="s">
        <v>11</v>
      </c>
      <c r="E36" s="23">
        <v>2.936599699211517E-2</v>
      </c>
      <c r="F36" s="22">
        <v>75</v>
      </c>
      <c r="G36" t="s">
        <v>145</v>
      </c>
    </row>
    <row r="37" spans="1:7" x14ac:dyDescent="0.35">
      <c r="A37" s="22" t="s">
        <v>138</v>
      </c>
      <c r="B37" s="22">
        <v>235110</v>
      </c>
      <c r="C37" s="22" t="s">
        <v>47</v>
      </c>
      <c r="D37" s="22" t="s">
        <v>11</v>
      </c>
      <c r="E37" s="23">
        <v>7.5953720307548697E-2</v>
      </c>
      <c r="F37" s="22">
        <v>175</v>
      </c>
      <c r="G37" t="s">
        <v>145</v>
      </c>
    </row>
    <row r="38" spans="1:7" x14ac:dyDescent="0.35">
      <c r="A38" s="22" t="s">
        <v>138</v>
      </c>
      <c r="B38" s="22">
        <v>233930</v>
      </c>
      <c r="C38" s="22" t="s">
        <v>33</v>
      </c>
      <c r="D38" s="22" t="s">
        <v>11</v>
      </c>
      <c r="E38" s="23">
        <v>4.0092113167605914E-2</v>
      </c>
      <c r="F38" s="22">
        <v>65</v>
      </c>
      <c r="G38" t="s">
        <v>145</v>
      </c>
    </row>
    <row r="39" spans="1:7" x14ac:dyDescent="0.35">
      <c r="A39" t="s">
        <v>26</v>
      </c>
      <c r="B39">
        <v>338695</v>
      </c>
      <c r="C39" t="s">
        <v>23</v>
      </c>
      <c r="D39" t="s">
        <v>11</v>
      </c>
      <c r="E39" s="19">
        <v>0.2802504002919583</v>
      </c>
      <c r="F39">
        <v>57</v>
      </c>
    </row>
    <row r="40" spans="1:7" x14ac:dyDescent="0.35">
      <c r="A40" t="s">
        <v>26</v>
      </c>
      <c r="B40">
        <v>5520961</v>
      </c>
      <c r="C40" t="s">
        <v>48</v>
      </c>
      <c r="D40" t="s">
        <v>11</v>
      </c>
      <c r="E40" s="19">
        <v>5.5810333805831176E-2</v>
      </c>
      <c r="F40">
        <v>0</v>
      </c>
    </row>
    <row r="41" spans="1:7" x14ac:dyDescent="0.35">
      <c r="A41" t="s">
        <v>26</v>
      </c>
      <c r="B41">
        <v>338748</v>
      </c>
      <c r="C41" t="s">
        <v>26</v>
      </c>
      <c r="D41" t="s">
        <v>11</v>
      </c>
      <c r="E41" s="19">
        <v>2.8190722418336398E-2</v>
      </c>
      <c r="F41">
        <v>78</v>
      </c>
    </row>
    <row r="42" spans="1:7" x14ac:dyDescent="0.35">
      <c r="A42" s="22" t="s">
        <v>38</v>
      </c>
      <c r="B42" s="22">
        <v>338933</v>
      </c>
      <c r="C42" s="22" t="s">
        <v>38</v>
      </c>
      <c r="D42" s="22" t="s">
        <v>11</v>
      </c>
      <c r="E42" s="23">
        <v>5.4237754540451294E-2</v>
      </c>
      <c r="F42" s="22">
        <v>85</v>
      </c>
      <c r="G42" t="s">
        <v>145</v>
      </c>
    </row>
  </sheetData>
  <sortState xmlns:xlrd2="http://schemas.microsoft.com/office/spreadsheetml/2017/richdata2" ref="A2:F42">
    <sortCondition ref="A2:A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8722-B336-4729-8C51-334B43514C0D}">
  <dimension ref="A1:AH6"/>
  <sheetViews>
    <sheetView topLeftCell="P1" workbookViewId="0">
      <selection activeCell="AD14" sqref="AD14"/>
    </sheetView>
  </sheetViews>
  <sheetFormatPr defaultRowHeight="14.5" x14ac:dyDescent="0.35"/>
  <cols>
    <col min="1" max="1" width="13.81640625" bestFit="1" customWidth="1"/>
    <col min="2" max="2" width="15.7265625" bestFit="1" customWidth="1"/>
    <col min="3" max="3" width="16.6328125" bestFit="1" customWidth="1"/>
    <col min="5" max="5" width="15.7265625" bestFit="1" customWidth="1"/>
    <col min="6" max="6" width="16.6328125" bestFit="1" customWidth="1"/>
    <col min="8" max="8" width="12.26953125" customWidth="1"/>
    <col min="9" max="9" width="11.36328125" bestFit="1" customWidth="1"/>
    <col min="11" max="11" width="12.26953125" customWidth="1"/>
    <col min="12" max="12" width="11.7265625" customWidth="1"/>
  </cols>
  <sheetData>
    <row r="1" spans="1:34" x14ac:dyDescent="0.35">
      <c r="A1" s="30" t="s">
        <v>2</v>
      </c>
      <c r="B1" s="31" t="s">
        <v>8</v>
      </c>
      <c r="C1" s="31"/>
      <c r="D1" s="31"/>
      <c r="E1" s="31" t="s">
        <v>9</v>
      </c>
      <c r="F1" s="31"/>
      <c r="G1" s="31"/>
      <c r="H1" s="31" t="s">
        <v>109</v>
      </c>
      <c r="I1" s="31"/>
      <c r="J1" s="31"/>
      <c r="K1" s="31" t="s">
        <v>116</v>
      </c>
      <c r="L1" s="31"/>
      <c r="M1" s="31"/>
      <c r="N1" s="31" t="s">
        <v>117</v>
      </c>
      <c r="O1" s="31"/>
      <c r="P1" s="31"/>
      <c r="Q1" s="31" t="s">
        <v>118</v>
      </c>
      <c r="R1" s="31"/>
      <c r="S1" s="31"/>
      <c r="T1" s="31" t="s">
        <v>147</v>
      </c>
      <c r="U1" s="31"/>
      <c r="V1" s="31"/>
      <c r="W1" s="31" t="s">
        <v>148</v>
      </c>
      <c r="X1" s="31"/>
      <c r="Y1" s="31"/>
      <c r="Z1" s="31" t="s">
        <v>167</v>
      </c>
      <c r="AA1" s="31"/>
      <c r="AB1" s="31"/>
      <c r="AC1" s="31" t="s">
        <v>149</v>
      </c>
      <c r="AD1" s="31"/>
      <c r="AE1" s="31"/>
      <c r="AF1" s="31" t="s">
        <v>347</v>
      </c>
      <c r="AG1" s="31"/>
      <c r="AH1" s="31"/>
    </row>
    <row r="2" spans="1:34" x14ac:dyDescent="0.35">
      <c r="A2" s="30" t="s">
        <v>2</v>
      </c>
      <c r="B2" s="11" t="s">
        <v>104</v>
      </c>
      <c r="C2" s="11" t="s">
        <v>5</v>
      </c>
      <c r="D2" s="11" t="s">
        <v>6</v>
      </c>
      <c r="E2" s="11" t="s">
        <v>104</v>
      </c>
      <c r="F2" s="11" t="s">
        <v>5</v>
      </c>
      <c r="G2" s="11" t="s">
        <v>6</v>
      </c>
      <c r="H2" s="11" t="s">
        <v>104</v>
      </c>
      <c r="I2" s="11" t="s">
        <v>5</v>
      </c>
      <c r="J2" s="11" t="s">
        <v>6</v>
      </c>
      <c r="K2" s="11" t="s">
        <v>104</v>
      </c>
      <c r="L2" s="11" t="s">
        <v>5</v>
      </c>
      <c r="M2" s="11" t="s">
        <v>6</v>
      </c>
      <c r="N2" s="11" t="s">
        <v>104</v>
      </c>
      <c r="O2" s="11" t="s">
        <v>5</v>
      </c>
      <c r="P2" s="11" t="s">
        <v>6</v>
      </c>
      <c r="Q2" s="11" t="s">
        <v>104</v>
      </c>
      <c r="R2" s="11" t="s">
        <v>5</v>
      </c>
      <c r="S2" s="11" t="s">
        <v>6</v>
      </c>
      <c r="T2" s="11" t="s">
        <v>104</v>
      </c>
      <c r="U2" s="11" t="s">
        <v>5</v>
      </c>
      <c r="V2" s="11" t="s">
        <v>6</v>
      </c>
      <c r="W2" s="11" t="s">
        <v>104</v>
      </c>
      <c r="X2" s="11" t="s">
        <v>5</v>
      </c>
      <c r="Y2" s="11" t="s">
        <v>6</v>
      </c>
      <c r="Z2" s="11" t="s">
        <v>104</v>
      </c>
      <c r="AA2" s="11" t="s">
        <v>5</v>
      </c>
      <c r="AB2" s="11" t="s">
        <v>6</v>
      </c>
      <c r="AC2" s="11" t="s">
        <v>104</v>
      </c>
      <c r="AD2" s="11" t="s">
        <v>5</v>
      </c>
      <c r="AE2" s="11" t="s">
        <v>6</v>
      </c>
      <c r="AF2" s="11" t="s">
        <v>104</v>
      </c>
      <c r="AG2" s="11" t="s">
        <v>5</v>
      </c>
      <c r="AH2" s="11" t="s">
        <v>6</v>
      </c>
    </row>
    <row r="3" spans="1:34" x14ac:dyDescent="0.35">
      <c r="A3" s="5" t="s">
        <v>13</v>
      </c>
      <c r="B3" s="6">
        <f>SUM('MoM Brand Wise'!D92:D125)</f>
        <v>110271</v>
      </c>
      <c r="C3" s="6">
        <f>SUM('MoM Brand Wise'!F92:F125)</f>
        <v>13950</v>
      </c>
      <c r="D3" s="7">
        <f>C3/B3</f>
        <v>0.12650651576570449</v>
      </c>
      <c r="E3" s="6">
        <f>SUM('MoM Brand Wise'!I92:I125)</f>
        <v>100397</v>
      </c>
      <c r="F3" s="6">
        <f>SUM('MoM Brand Wise'!K92:K125)</f>
        <v>18361</v>
      </c>
      <c r="G3" s="7">
        <f>F3/E3</f>
        <v>0.18288395071565883</v>
      </c>
      <c r="H3" s="6">
        <f>SUM('MoM Brand Wise'!N92:N125)</f>
        <v>102654</v>
      </c>
      <c r="I3" s="6">
        <f>SUM('MoM Brand Wise'!P92:P125)</f>
        <v>27057</v>
      </c>
      <c r="J3" s="3">
        <f>I3/H3</f>
        <v>0.26357472675200189</v>
      </c>
      <c r="K3" s="6">
        <f>SUM('MoM Brand Wise'!S92:S125)</f>
        <v>113396</v>
      </c>
      <c r="L3" s="6">
        <f>SUM('MoM Brand Wise'!U92:U125)</f>
        <v>27062</v>
      </c>
      <c r="M3" s="3">
        <f>L3/K3</f>
        <v>0.23865039331193341</v>
      </c>
      <c r="N3" s="6">
        <f>SUM('MoM Brand Wise'!X92:X125)</f>
        <v>71348</v>
      </c>
      <c r="O3" s="6">
        <f>SUM('MoM Brand Wise'!Z92:Z125)</f>
        <v>35363</v>
      </c>
      <c r="P3" s="3">
        <f>O3/N3</f>
        <v>0.49564108314178396</v>
      </c>
      <c r="Q3" s="6">
        <f>SUM('MoM Brand Wise'!AC92:AC125)</f>
        <v>78196</v>
      </c>
      <c r="R3" s="6">
        <f>SUM('MoM Brand Wise'!AE92:AE125)</f>
        <v>18251</v>
      </c>
      <c r="S3" s="3">
        <f>R3/Q3</f>
        <v>0.23340068545705664</v>
      </c>
      <c r="T3" s="6">
        <f>SUM('MoM Brand Wise'!AH92:AH125)</f>
        <v>110296</v>
      </c>
      <c r="U3" s="6">
        <f>SUM('MoM Brand Wise'!AJ92:AJ125)</f>
        <v>32712</v>
      </c>
      <c r="V3" s="3">
        <f>U3/T3</f>
        <v>0.2965837383041996</v>
      </c>
      <c r="W3" s="6">
        <f>SUM('MoM Brand Wise'!AM92:AM125)</f>
        <v>128624</v>
      </c>
      <c r="X3" s="6">
        <f>SUM('MoM Brand Wise'!AO92:AO125)</f>
        <v>10250</v>
      </c>
      <c r="Y3" s="3">
        <f>X3/W3</f>
        <v>7.9689638014678446E-2</v>
      </c>
      <c r="Z3" s="6">
        <f>SUM('MoM Brand Wise'!AR92:AR125)</f>
        <v>106822</v>
      </c>
      <c r="AA3" s="6">
        <f>SUM('MoM Brand Wise'!AT92:AT125)</f>
        <v>24947</v>
      </c>
      <c r="AB3" s="3">
        <f>AA3/Z3</f>
        <v>0.2335380352361873</v>
      </c>
      <c r="AC3" s="6">
        <f>SUM('MoM Brand Wise'!AW92:AW125)</f>
        <v>112642</v>
      </c>
      <c r="AD3" s="6">
        <f>SUM('MoM Brand Wise'!AY92:AY125)</f>
        <v>37166</v>
      </c>
      <c r="AE3" s="3">
        <f>AD3/AC3</f>
        <v>0.32994797677598053</v>
      </c>
      <c r="AF3" s="2">
        <f>AC3+Z3+T3+Q3+N3+K3+H3+E3+B3+W3</f>
        <v>1034646</v>
      </c>
      <c r="AG3" s="2">
        <f>AD3+AA3+U3+R3+O3+L3+I3+F3+C3+X3</f>
        <v>245119</v>
      </c>
      <c r="AH3" s="28">
        <f>AG3/AF3</f>
        <v>0.23691098211368913</v>
      </c>
    </row>
    <row r="4" spans="1:34" x14ac:dyDescent="0.35">
      <c r="A4" s="5" t="s">
        <v>51</v>
      </c>
      <c r="B4" s="6">
        <f>SUM('MoM Brand Wise'!D45:D91)</f>
        <v>562205</v>
      </c>
      <c r="C4" s="6">
        <f>SUM('MoM Brand Wise'!F45:F91)</f>
        <v>116999</v>
      </c>
      <c r="D4" s="7">
        <f>C4/B4</f>
        <v>0.20810736297258117</v>
      </c>
      <c r="E4" s="6">
        <f>SUM('MoM Brand Wise'!I45:I91)</f>
        <v>495256</v>
      </c>
      <c r="F4" s="6">
        <f>SUM('MoM Brand Wise'!K45:K91)</f>
        <v>112892</v>
      </c>
      <c r="G4" s="7">
        <f>F4/E4</f>
        <v>0.22794675884794935</v>
      </c>
      <c r="H4" s="6">
        <f>SUM('MoM Brand Wise'!N45:N91)</f>
        <v>442944</v>
      </c>
      <c r="I4" s="6">
        <f>SUM('MoM Brand Wise'!P45:P91)</f>
        <v>88344</v>
      </c>
      <c r="J4" s="3">
        <f t="shared" ref="J4:J5" si="0">I4/H4</f>
        <v>0.19944733420026009</v>
      </c>
      <c r="K4" s="6">
        <f>SUM('MoM Brand Wise'!S45:S91)</f>
        <v>533469</v>
      </c>
      <c r="L4" s="6">
        <f>SUM('MoM Brand Wise'!U45:U91)</f>
        <v>92535</v>
      </c>
      <c r="M4" s="3">
        <f t="shared" ref="M4:M5" si="1">L4/K4</f>
        <v>0.17345900136652739</v>
      </c>
      <c r="N4" s="6">
        <f>SUM('MoM Brand Wise'!X45:X91)</f>
        <v>474960</v>
      </c>
      <c r="O4" s="6">
        <f>SUM('MoM Brand Wise'!Z45:Z91)</f>
        <v>122301</v>
      </c>
      <c r="P4" s="3">
        <f t="shared" ref="P4:P5" si="2">O4/N4</f>
        <v>0.25749747347145024</v>
      </c>
      <c r="Q4" s="6">
        <f>SUM('MoM Brand Wise'!AC45:AC91)</f>
        <v>486092</v>
      </c>
      <c r="R4" s="6">
        <f>SUM('MoM Brand Wise'!AE45:AE91)</f>
        <v>155743</v>
      </c>
      <c r="S4" s="3">
        <f t="shared" ref="S4:S5" si="3">R4/Q4</f>
        <v>0.32039819622622878</v>
      </c>
      <c r="T4" s="6">
        <f>SUM('MoM Brand Wise'!AH45:AH91)</f>
        <v>407981</v>
      </c>
      <c r="U4" s="6">
        <f>SUM('MoM Brand Wise'!AJ45:AJ91)</f>
        <v>42577</v>
      </c>
      <c r="V4" s="3">
        <f t="shared" ref="V4:V5" si="4">U4/T4</f>
        <v>0.10436025207056211</v>
      </c>
      <c r="W4" s="6">
        <f>SUM('MoM Brand Wise'!AM45:AM91)</f>
        <v>922215</v>
      </c>
      <c r="X4" s="6">
        <f>SUM('MoM Brand Wise'!AO45:AO91)</f>
        <v>62079</v>
      </c>
      <c r="Y4" s="3">
        <f t="shared" ref="Y4:Y5" si="5">X4/W4</f>
        <v>6.7315105479741705E-2</v>
      </c>
      <c r="Z4" s="6">
        <f>SUM('MoM Brand Wise'!AR45:AR91)</f>
        <v>1666659</v>
      </c>
      <c r="AA4" s="6">
        <f>SUM('MoM Brand Wise'!AT45:AT91)</f>
        <v>108435</v>
      </c>
      <c r="AB4" s="3">
        <f t="shared" ref="AB4:AB5" si="6">AA4/Z4</f>
        <v>6.5061299281976695E-2</v>
      </c>
      <c r="AC4" s="6">
        <f>SUM('MoM Brand Wise'!AW45:AW91)</f>
        <v>1269718</v>
      </c>
      <c r="AD4" s="6">
        <f>SUM('MoM Brand Wise'!AY45:AY91)</f>
        <v>128930</v>
      </c>
      <c r="AE4" s="3">
        <f t="shared" ref="AE4:AE5" si="7">AD4/AC4</f>
        <v>0.101542232212192</v>
      </c>
      <c r="AF4" s="2">
        <f t="shared" ref="AF4:AF5" si="8">AC4+Z4+T4+Q4+N4+K4+H4+E4+B4+W4</f>
        <v>7261499</v>
      </c>
      <c r="AG4" s="2">
        <f t="shared" ref="AG4:AG5" si="9">AD4+AA4+U4+R4+O4+L4+I4+F4+C4+X4</f>
        <v>1030835</v>
      </c>
      <c r="AH4" s="28">
        <f t="shared" ref="AH4:AH6" si="10">AG4/AF4</f>
        <v>0.14195898119658215</v>
      </c>
    </row>
    <row r="5" spans="1:34" x14ac:dyDescent="0.35">
      <c r="A5" s="5" t="s">
        <v>11</v>
      </c>
      <c r="B5" s="6">
        <f>SUM('MoM Brand Wise'!D3:D44)</f>
        <v>773310</v>
      </c>
      <c r="C5" s="6">
        <f>SUM('MoM Brand Wise'!F3:F44)</f>
        <v>215823</v>
      </c>
      <c r="D5" s="7">
        <f>C5/B5</f>
        <v>0.27908988633277726</v>
      </c>
      <c r="E5" s="6">
        <f>SUM('MoM Brand Wise'!I3:I44)</f>
        <v>713628</v>
      </c>
      <c r="F5" s="6">
        <f>SUM('MoM Brand Wise'!K3:K44)</f>
        <v>126655</v>
      </c>
      <c r="G5" s="7">
        <f>F5/E5</f>
        <v>0.17748042397439562</v>
      </c>
      <c r="H5" s="6">
        <f>SUM('MoM Brand Wise'!N3:N44)</f>
        <v>876043</v>
      </c>
      <c r="I5" s="6">
        <f>SUM('MoM Brand Wise'!P3:P44)</f>
        <v>445320</v>
      </c>
      <c r="J5" s="3">
        <f t="shared" si="0"/>
        <v>0.50833121205237641</v>
      </c>
      <c r="K5" s="6">
        <f>SUM('MoM Brand Wise'!S3:S44)</f>
        <v>777659</v>
      </c>
      <c r="L5" s="6">
        <f>SUM('MoM Brand Wise'!U3:U44)</f>
        <v>175815</v>
      </c>
      <c r="M5" s="3">
        <f t="shared" si="1"/>
        <v>0.22608238315251286</v>
      </c>
      <c r="N5" s="6">
        <f>SUM('MoM Brand Wise'!X3:X44)</f>
        <v>718917</v>
      </c>
      <c r="O5" s="6">
        <f>SUM('MoM Brand Wise'!Z3:Z44)</f>
        <v>145168</v>
      </c>
      <c r="P5" s="3">
        <f t="shared" si="2"/>
        <v>0.20192595250912135</v>
      </c>
      <c r="Q5" s="6">
        <f>SUM('MoM Brand Wise'!AC3:AC44)</f>
        <v>607394</v>
      </c>
      <c r="R5" s="6">
        <f>SUM('MoM Brand Wise'!AE3:AE44)</f>
        <v>116355</v>
      </c>
      <c r="S5" s="3">
        <f t="shared" si="3"/>
        <v>0.19156428940687592</v>
      </c>
      <c r="T5" s="6">
        <f>SUM('MoM Brand Wise'!AH3:AH44)</f>
        <v>1301487</v>
      </c>
      <c r="U5" s="6">
        <f>SUM('MoM Brand Wise'!AJ3:AJ44)</f>
        <v>244340</v>
      </c>
      <c r="V5" s="3">
        <f t="shared" si="4"/>
        <v>0.18773910150466352</v>
      </c>
      <c r="W5" s="6">
        <f>SUM('MoM Brand Wise'!AM3:AM44)</f>
        <v>2140868</v>
      </c>
      <c r="X5" s="6">
        <f>SUM('MoM Brand Wise'!AO3:AO44)</f>
        <v>542467</v>
      </c>
      <c r="Y5" s="3">
        <f t="shared" si="5"/>
        <v>0.25338647688694493</v>
      </c>
      <c r="Z5" s="6">
        <f>SUM('MoM Brand Wise'!AR3:AR44)</f>
        <v>1398343</v>
      </c>
      <c r="AA5" s="6">
        <f>SUM('MoM Brand Wise'!AT3:AT44)</f>
        <v>335580</v>
      </c>
      <c r="AB5" s="3">
        <f t="shared" si="6"/>
        <v>0.23998403825098705</v>
      </c>
      <c r="AC5" s="6">
        <f>SUM('MoM Brand Wise'!AW3:AW44)</f>
        <v>1169462</v>
      </c>
      <c r="AD5" s="6">
        <f>SUM('MoM Brand Wise'!AY3:AY44)</f>
        <v>280906</v>
      </c>
      <c r="AE5" s="3">
        <f t="shared" si="7"/>
        <v>0.24020104971345799</v>
      </c>
      <c r="AF5" s="2">
        <f t="shared" si="8"/>
        <v>10477111</v>
      </c>
      <c r="AG5" s="2">
        <f t="shared" si="9"/>
        <v>2628429</v>
      </c>
      <c r="AH5" s="28">
        <f t="shared" si="10"/>
        <v>0.25087345166048158</v>
      </c>
    </row>
    <row r="6" spans="1:34" x14ac:dyDescent="0.35">
      <c r="A6" s="8" t="s">
        <v>105</v>
      </c>
      <c r="B6" s="9">
        <f>SUM(B3:B5)</f>
        <v>1445786</v>
      </c>
      <c r="C6" s="9">
        <f>SUM(C3:C5)</f>
        <v>346772</v>
      </c>
      <c r="D6" s="10">
        <f>C6/B6</f>
        <v>0.2398501576305207</v>
      </c>
      <c r="E6" s="9">
        <f>SUM(E3:E5)</f>
        <v>1309281</v>
      </c>
      <c r="F6" s="9">
        <f>SUM(F3:F5)</f>
        <v>257908</v>
      </c>
      <c r="G6" s="10">
        <f>F6/E6</f>
        <v>0.19698445177162122</v>
      </c>
      <c r="H6" s="15">
        <f>SUM(H3:H5)</f>
        <v>1421641</v>
      </c>
      <c r="I6" s="15">
        <f>SUM(I3:I5)</f>
        <v>560721</v>
      </c>
      <c r="J6" s="10">
        <f>I6/H6</f>
        <v>0.39441814072610454</v>
      </c>
      <c r="K6" s="15">
        <f>SUM(K3:K5)</f>
        <v>1424524</v>
      </c>
      <c r="L6" s="15">
        <f>SUM(L3:L5)</f>
        <v>295412</v>
      </c>
      <c r="M6" s="10">
        <f>L6/K6</f>
        <v>0.20737593750614242</v>
      </c>
      <c r="N6" s="15">
        <f>SUM(N3:N5)</f>
        <v>1265225</v>
      </c>
      <c r="O6" s="15">
        <f>SUM(O3:O5)</f>
        <v>302832</v>
      </c>
      <c r="P6" s="10">
        <f>O6/N6</f>
        <v>0.23935031318540181</v>
      </c>
      <c r="Q6" s="15">
        <f>SUM(Q3:Q5)</f>
        <v>1171682</v>
      </c>
      <c r="R6" s="15">
        <f>SUM(R3:R5)</f>
        <v>290349</v>
      </c>
      <c r="S6" s="10">
        <f>R6/Q6</f>
        <v>0.24780529187953729</v>
      </c>
      <c r="T6" s="15">
        <f>SUM(T3:T5)</f>
        <v>1819764</v>
      </c>
      <c r="U6" s="15">
        <f>SUM(U3:U5)</f>
        <v>319629</v>
      </c>
      <c r="V6" s="10">
        <f>U6/T6</f>
        <v>0.17564310536970729</v>
      </c>
      <c r="W6" s="15">
        <f>SUM(W3:W5)</f>
        <v>3191707</v>
      </c>
      <c r="X6" s="15">
        <f>SUM(X3:X5)</f>
        <v>614796</v>
      </c>
      <c r="Y6" s="10">
        <f>X6/W6</f>
        <v>0.19262294439934494</v>
      </c>
      <c r="Z6" s="15">
        <f>SUM(Z3:Z5)</f>
        <v>3171824</v>
      </c>
      <c r="AA6" s="15">
        <f>SUM(AA3:AA5)</f>
        <v>468962</v>
      </c>
      <c r="AB6" s="10">
        <f>AA6/Z6</f>
        <v>0.14785246596280247</v>
      </c>
      <c r="AC6" s="15">
        <f>SUM(AC3:AC5)</f>
        <v>2551822</v>
      </c>
      <c r="AD6" s="15">
        <f>SUM(AD3:AD5)</f>
        <v>447002</v>
      </c>
      <c r="AE6" s="10">
        <f>AD6/AC6</f>
        <v>0.17516974146315847</v>
      </c>
      <c r="AF6" s="5">
        <f>SUM(AF3:AF5)</f>
        <v>18773256</v>
      </c>
      <c r="AG6" s="5">
        <f>SUM(AG3:AG5)</f>
        <v>3904383</v>
      </c>
      <c r="AH6" s="28">
        <f t="shared" si="10"/>
        <v>0.20797580345146308</v>
      </c>
    </row>
  </sheetData>
  <mergeCells count="12">
    <mergeCell ref="W1:Y1"/>
    <mergeCell ref="AF1:AH1"/>
    <mergeCell ref="A1:A2"/>
    <mergeCell ref="B1:D1"/>
    <mergeCell ref="E1:G1"/>
    <mergeCell ref="H1:J1"/>
    <mergeCell ref="K1:M1"/>
    <mergeCell ref="T1:V1"/>
    <mergeCell ref="Z1:AB1"/>
    <mergeCell ref="AC1:AE1"/>
    <mergeCell ref="Q1:S1"/>
    <mergeCell ref="N1:P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C372-BDDF-4149-B991-FB2815DB1E3B}">
  <dimension ref="A1:N256"/>
  <sheetViews>
    <sheetView tabSelected="1" workbookViewId="0">
      <selection activeCell="H9" sqref="H9"/>
    </sheetView>
  </sheetViews>
  <sheetFormatPr defaultRowHeight="14.5" x14ac:dyDescent="0.35"/>
  <cols>
    <col min="1" max="1" width="18.7265625" customWidth="1"/>
    <col min="2" max="2" width="16" customWidth="1"/>
  </cols>
  <sheetData>
    <row r="1" spans="1:14" x14ac:dyDescent="0.35">
      <c r="A1" s="27" t="s">
        <v>168</v>
      </c>
      <c r="B1" s="27" t="s">
        <v>169</v>
      </c>
      <c r="C1" s="27" t="s">
        <v>170</v>
      </c>
      <c r="D1" s="27" t="s">
        <v>171</v>
      </c>
      <c r="E1" s="27" t="s">
        <v>172</v>
      </c>
      <c r="F1" s="27" t="s">
        <v>173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178</v>
      </c>
      <c r="L1" s="27" t="s">
        <v>179</v>
      </c>
      <c r="M1" s="27" t="s">
        <v>180</v>
      </c>
      <c r="N1" s="27" t="s">
        <v>105</v>
      </c>
    </row>
    <row r="2" spans="1:14" x14ac:dyDescent="0.35">
      <c r="A2" s="2">
        <v>198664</v>
      </c>
      <c r="B2" s="2" t="s">
        <v>182</v>
      </c>
      <c r="C2" s="2">
        <v>314517</v>
      </c>
      <c r="D2" s="2">
        <v>16712</v>
      </c>
      <c r="E2" s="2">
        <v>33603</v>
      </c>
      <c r="F2" s="2">
        <v>33006</v>
      </c>
      <c r="G2" s="2">
        <v>20704</v>
      </c>
      <c r="H2" s="2">
        <v>31354</v>
      </c>
      <c r="I2" s="2">
        <v>46830</v>
      </c>
      <c r="J2" s="2">
        <v>55137</v>
      </c>
      <c r="K2" s="2">
        <v>53942</v>
      </c>
      <c r="L2" s="2">
        <v>389946</v>
      </c>
      <c r="M2" s="2">
        <v>17122</v>
      </c>
      <c r="N2" s="2">
        <v>1012873</v>
      </c>
    </row>
    <row r="3" spans="1:14" x14ac:dyDescent="0.35">
      <c r="A3" s="2">
        <v>326433</v>
      </c>
      <c r="B3" s="2" t="s">
        <v>32</v>
      </c>
      <c r="C3" s="2">
        <v>193238</v>
      </c>
      <c r="D3" s="2">
        <v>576800</v>
      </c>
      <c r="E3" s="2">
        <v>309961</v>
      </c>
      <c r="F3" s="2">
        <v>188209</v>
      </c>
      <c r="G3" s="2">
        <v>304080</v>
      </c>
      <c r="H3" s="2">
        <v>276681</v>
      </c>
      <c r="I3" s="2">
        <v>898126</v>
      </c>
      <c r="J3" s="2">
        <v>6358633</v>
      </c>
      <c r="K3" s="2">
        <v>1941009</v>
      </c>
      <c r="L3" s="2">
        <v>428058</v>
      </c>
      <c r="M3" s="2">
        <v>224562</v>
      </c>
      <c r="N3" s="2">
        <v>11699357</v>
      </c>
    </row>
    <row r="4" spans="1:14" s="17" customFormat="1" x14ac:dyDescent="0.35">
      <c r="A4" s="26">
        <v>326424</v>
      </c>
      <c r="B4" s="26" t="s">
        <v>10</v>
      </c>
      <c r="C4" s="26">
        <v>108721</v>
      </c>
      <c r="D4" s="26">
        <v>27860</v>
      </c>
      <c r="E4" s="26">
        <v>88074</v>
      </c>
      <c r="F4" s="26">
        <v>85103</v>
      </c>
      <c r="G4" s="26">
        <v>102464</v>
      </c>
      <c r="H4" s="26">
        <v>51961</v>
      </c>
      <c r="I4" s="26">
        <v>133689</v>
      </c>
      <c r="J4" s="26">
        <v>59173</v>
      </c>
      <c r="K4" s="26">
        <v>308307</v>
      </c>
      <c r="L4" s="26">
        <v>92160</v>
      </c>
      <c r="M4" s="26">
        <v>64389</v>
      </c>
      <c r="N4" s="26">
        <v>1121901</v>
      </c>
    </row>
    <row r="5" spans="1:14" s="33" customFormat="1" x14ac:dyDescent="0.35">
      <c r="A5" s="32">
        <v>110955</v>
      </c>
      <c r="B5" s="32" t="s">
        <v>20</v>
      </c>
      <c r="C5" s="32">
        <v>79313</v>
      </c>
      <c r="D5" s="32">
        <v>364431</v>
      </c>
      <c r="E5" s="32">
        <v>286821</v>
      </c>
      <c r="F5" s="32">
        <v>42014</v>
      </c>
      <c r="G5" s="32">
        <v>5338</v>
      </c>
      <c r="H5" s="32">
        <v>5185</v>
      </c>
      <c r="I5" s="32">
        <v>6100</v>
      </c>
      <c r="J5" s="32">
        <v>12032</v>
      </c>
      <c r="K5" s="32">
        <v>10363</v>
      </c>
      <c r="L5" s="32">
        <v>9892</v>
      </c>
      <c r="M5" s="32">
        <v>12589</v>
      </c>
      <c r="N5" s="32">
        <v>834078</v>
      </c>
    </row>
    <row r="6" spans="1:14" x14ac:dyDescent="0.35">
      <c r="A6" s="2">
        <v>239515</v>
      </c>
      <c r="B6" s="2" t="s">
        <v>184</v>
      </c>
      <c r="C6" s="2">
        <v>34019</v>
      </c>
      <c r="D6" s="2">
        <v>25770</v>
      </c>
      <c r="E6" s="2">
        <v>45145</v>
      </c>
      <c r="F6" s="2">
        <v>43797</v>
      </c>
      <c r="G6" s="2">
        <v>20870</v>
      </c>
      <c r="H6" s="2">
        <v>85427</v>
      </c>
      <c r="I6" s="2">
        <v>37701</v>
      </c>
      <c r="J6" s="2">
        <v>47939</v>
      </c>
      <c r="K6" s="2">
        <v>41483</v>
      </c>
      <c r="L6" s="2">
        <v>40905</v>
      </c>
      <c r="M6" s="2">
        <v>32444</v>
      </c>
      <c r="N6" s="2">
        <v>455500</v>
      </c>
    </row>
    <row r="7" spans="1:14" x14ac:dyDescent="0.35">
      <c r="A7" s="2">
        <v>196635</v>
      </c>
      <c r="B7" s="2" t="s">
        <v>189</v>
      </c>
      <c r="C7" s="2">
        <v>31944</v>
      </c>
      <c r="D7" s="2">
        <v>12544</v>
      </c>
      <c r="E7" s="2">
        <v>7191</v>
      </c>
      <c r="F7" s="2">
        <v>7144</v>
      </c>
      <c r="G7" s="2">
        <v>1745</v>
      </c>
      <c r="H7" s="2">
        <v>2885</v>
      </c>
      <c r="I7" s="2">
        <v>4556</v>
      </c>
      <c r="J7" s="2">
        <v>3728</v>
      </c>
      <c r="K7" s="2">
        <v>4021</v>
      </c>
      <c r="L7" s="2">
        <v>62184</v>
      </c>
      <c r="M7" s="2">
        <v>5451</v>
      </c>
      <c r="N7" s="2">
        <v>143393</v>
      </c>
    </row>
    <row r="8" spans="1:14" x14ac:dyDescent="0.35">
      <c r="A8" s="2">
        <v>386197</v>
      </c>
      <c r="B8" s="2" t="s">
        <v>201</v>
      </c>
      <c r="C8" s="2">
        <v>29508</v>
      </c>
      <c r="D8" s="2">
        <v>1008</v>
      </c>
      <c r="E8" s="2">
        <v>2703</v>
      </c>
      <c r="F8" s="2">
        <v>160</v>
      </c>
      <c r="G8" s="2">
        <v>105</v>
      </c>
      <c r="H8" s="2">
        <v>1024</v>
      </c>
      <c r="I8" s="2">
        <v>5385</v>
      </c>
      <c r="J8" s="2">
        <v>2458</v>
      </c>
      <c r="K8" s="2">
        <v>3268</v>
      </c>
      <c r="L8" s="2">
        <v>10035</v>
      </c>
      <c r="M8" s="2">
        <v>747</v>
      </c>
      <c r="N8" s="2">
        <v>56401</v>
      </c>
    </row>
    <row r="9" spans="1:14" s="17" customFormat="1" x14ac:dyDescent="0.35">
      <c r="A9" s="26">
        <v>469031</v>
      </c>
      <c r="B9" s="26" t="s">
        <v>183</v>
      </c>
      <c r="C9" s="26">
        <v>29094</v>
      </c>
      <c r="D9" s="26">
        <v>113136</v>
      </c>
      <c r="E9" s="26">
        <v>46943</v>
      </c>
      <c r="F9" s="26">
        <v>86998</v>
      </c>
      <c r="G9" s="26">
        <v>38220</v>
      </c>
      <c r="H9" s="26">
        <v>37001</v>
      </c>
      <c r="I9" s="26">
        <v>45828</v>
      </c>
      <c r="J9" s="26">
        <v>62362</v>
      </c>
      <c r="K9" s="26">
        <v>61192</v>
      </c>
      <c r="L9" s="26">
        <v>57466</v>
      </c>
      <c r="M9" s="26">
        <v>32463</v>
      </c>
      <c r="N9" s="26">
        <v>610703</v>
      </c>
    </row>
    <row r="10" spans="1:14" s="17" customFormat="1" x14ac:dyDescent="0.35">
      <c r="A10" s="26">
        <v>322632</v>
      </c>
      <c r="B10" s="26" t="s">
        <v>40</v>
      </c>
      <c r="C10" s="26">
        <v>28315</v>
      </c>
      <c r="D10" s="26">
        <v>124551</v>
      </c>
      <c r="E10" s="26">
        <v>116482</v>
      </c>
      <c r="F10" s="26">
        <v>65950</v>
      </c>
      <c r="G10" s="26">
        <v>32442</v>
      </c>
      <c r="H10" s="26">
        <v>45258</v>
      </c>
      <c r="I10" s="26">
        <v>42485</v>
      </c>
      <c r="J10" s="26">
        <v>101265</v>
      </c>
      <c r="K10" s="26">
        <v>154025</v>
      </c>
      <c r="L10" s="26">
        <v>78034</v>
      </c>
      <c r="M10" s="26">
        <v>38644</v>
      </c>
      <c r="N10" s="26">
        <v>827451</v>
      </c>
    </row>
    <row r="11" spans="1:14" x14ac:dyDescent="0.35">
      <c r="A11" s="2">
        <v>213407</v>
      </c>
      <c r="B11" s="2" t="s">
        <v>21</v>
      </c>
      <c r="C11" s="2">
        <v>25785</v>
      </c>
      <c r="D11" s="2">
        <v>22256</v>
      </c>
      <c r="E11" s="2">
        <v>68425</v>
      </c>
      <c r="F11" s="2">
        <v>49304</v>
      </c>
      <c r="G11" s="2">
        <v>84779</v>
      </c>
      <c r="H11" s="2">
        <v>21309</v>
      </c>
      <c r="I11" s="2">
        <v>29374</v>
      </c>
      <c r="J11" s="2">
        <v>45677</v>
      </c>
      <c r="K11" s="2">
        <v>42814</v>
      </c>
      <c r="L11" s="2">
        <v>43129</v>
      </c>
      <c r="M11" s="2">
        <v>29335</v>
      </c>
      <c r="N11" s="2">
        <v>462187</v>
      </c>
    </row>
    <row r="12" spans="1:14" x14ac:dyDescent="0.35">
      <c r="A12" s="2">
        <v>232762</v>
      </c>
      <c r="B12" s="2" t="s">
        <v>197</v>
      </c>
      <c r="C12" s="2">
        <v>19012</v>
      </c>
      <c r="D12" s="2">
        <v>7501</v>
      </c>
      <c r="E12" s="2">
        <v>10967</v>
      </c>
      <c r="F12" s="2">
        <v>12600</v>
      </c>
      <c r="G12" s="2">
        <v>4441</v>
      </c>
      <c r="H12" s="2">
        <v>5804</v>
      </c>
      <c r="I12" s="2">
        <v>7748</v>
      </c>
      <c r="J12" s="2">
        <v>4182</v>
      </c>
      <c r="K12" s="2">
        <v>2116</v>
      </c>
      <c r="L12" s="2">
        <v>4807</v>
      </c>
      <c r="M12" s="2">
        <v>1740</v>
      </c>
      <c r="N12" s="2">
        <v>80918</v>
      </c>
    </row>
    <row r="13" spans="1:14" x14ac:dyDescent="0.35">
      <c r="A13" s="2">
        <v>440088</v>
      </c>
      <c r="B13" s="2" t="s">
        <v>186</v>
      </c>
      <c r="C13" s="2">
        <v>13941</v>
      </c>
      <c r="D13" s="2">
        <v>47440</v>
      </c>
      <c r="E13" s="2">
        <v>16157</v>
      </c>
      <c r="F13" s="2">
        <v>33499</v>
      </c>
      <c r="G13" s="2">
        <v>15167</v>
      </c>
      <c r="H13" s="2">
        <v>15030</v>
      </c>
      <c r="I13" s="2">
        <v>30567</v>
      </c>
      <c r="J13" s="2">
        <v>33173</v>
      </c>
      <c r="K13" s="2">
        <v>32698</v>
      </c>
      <c r="L13" s="2">
        <v>21891</v>
      </c>
      <c r="M13" s="2">
        <v>23680</v>
      </c>
      <c r="N13" s="2">
        <v>283243</v>
      </c>
    </row>
    <row r="14" spans="1:14" x14ac:dyDescent="0.35">
      <c r="A14" s="2">
        <v>220338</v>
      </c>
      <c r="B14" s="2" t="s">
        <v>185</v>
      </c>
      <c r="C14" s="2">
        <v>13657</v>
      </c>
      <c r="D14" s="2">
        <v>72601</v>
      </c>
      <c r="E14" s="2">
        <v>25183</v>
      </c>
      <c r="F14" s="2">
        <v>24830</v>
      </c>
      <c r="G14" s="2">
        <v>19887</v>
      </c>
      <c r="H14" s="2">
        <v>16900</v>
      </c>
      <c r="I14" s="2">
        <v>22261</v>
      </c>
      <c r="J14" s="2">
        <v>31769</v>
      </c>
      <c r="K14" s="2">
        <v>55160</v>
      </c>
      <c r="L14" s="2">
        <v>35568</v>
      </c>
      <c r="M14" s="2">
        <v>15558</v>
      </c>
      <c r="N14" s="2">
        <v>333374</v>
      </c>
    </row>
    <row r="15" spans="1:14" x14ac:dyDescent="0.35">
      <c r="A15" s="2">
        <v>207497</v>
      </c>
      <c r="B15" s="2" t="s">
        <v>110</v>
      </c>
      <c r="C15" s="2">
        <v>12955</v>
      </c>
      <c r="D15" s="2">
        <v>5999</v>
      </c>
      <c r="E15" s="2">
        <v>31495</v>
      </c>
      <c r="F15" s="2">
        <v>34744</v>
      </c>
      <c r="G15" s="2">
        <v>42038</v>
      </c>
      <c r="H15" s="2">
        <v>33722</v>
      </c>
      <c r="I15" s="2">
        <v>36075</v>
      </c>
      <c r="J15" s="2">
        <v>43509</v>
      </c>
      <c r="K15" s="2">
        <v>41784</v>
      </c>
      <c r="L15" s="2">
        <v>39533</v>
      </c>
      <c r="M15" s="2">
        <v>30353</v>
      </c>
      <c r="N15" s="2">
        <v>352207</v>
      </c>
    </row>
    <row r="16" spans="1:14" s="17" customFormat="1" x14ac:dyDescent="0.35">
      <c r="A16" s="26">
        <v>338933</v>
      </c>
      <c r="B16" s="26" t="s">
        <v>38</v>
      </c>
      <c r="C16" s="26">
        <v>12855</v>
      </c>
      <c r="D16" s="26">
        <v>59104</v>
      </c>
      <c r="E16" s="26">
        <v>56540</v>
      </c>
      <c r="F16" s="26">
        <v>43704</v>
      </c>
      <c r="G16" s="26">
        <v>66186</v>
      </c>
      <c r="H16" s="26">
        <v>19696</v>
      </c>
      <c r="I16" s="26">
        <v>18366</v>
      </c>
      <c r="J16" s="26">
        <v>26846</v>
      </c>
      <c r="K16" s="26">
        <v>28732</v>
      </c>
      <c r="L16" s="26">
        <v>30929</v>
      </c>
      <c r="M16" s="26">
        <v>12394</v>
      </c>
      <c r="N16" s="26">
        <v>375352</v>
      </c>
    </row>
    <row r="17" spans="1:14" x14ac:dyDescent="0.35">
      <c r="A17" s="2">
        <v>200355</v>
      </c>
      <c r="B17" s="2" t="s">
        <v>88</v>
      </c>
      <c r="C17" s="2">
        <v>12507</v>
      </c>
      <c r="D17" s="2">
        <v>31218</v>
      </c>
      <c r="E17" s="2">
        <v>42812</v>
      </c>
      <c r="F17" s="2">
        <v>43998</v>
      </c>
      <c r="G17" s="2">
        <v>28000</v>
      </c>
      <c r="H17" s="2">
        <v>20174</v>
      </c>
      <c r="I17" s="2">
        <v>31855</v>
      </c>
      <c r="J17" s="2">
        <v>42803</v>
      </c>
      <c r="K17" s="2">
        <v>33531</v>
      </c>
      <c r="L17" s="2">
        <v>29593</v>
      </c>
      <c r="M17" s="2">
        <v>18445</v>
      </c>
      <c r="N17" s="2">
        <v>334936</v>
      </c>
    </row>
    <row r="18" spans="1:14" s="17" customFormat="1" x14ac:dyDescent="0.35">
      <c r="A18" s="26">
        <v>752852</v>
      </c>
      <c r="B18" s="26" t="s">
        <v>52</v>
      </c>
      <c r="C18" s="26">
        <v>11771</v>
      </c>
      <c r="D18" s="26">
        <v>6587</v>
      </c>
      <c r="E18" s="26">
        <v>2883</v>
      </c>
      <c r="F18" s="26">
        <v>7834</v>
      </c>
      <c r="G18" s="26">
        <v>5251</v>
      </c>
      <c r="H18" s="26">
        <v>48696</v>
      </c>
      <c r="I18" s="26">
        <v>1845</v>
      </c>
      <c r="J18" s="26">
        <v>8079</v>
      </c>
      <c r="K18" s="26">
        <v>6943</v>
      </c>
      <c r="L18" s="26">
        <v>9700</v>
      </c>
      <c r="M18" s="26">
        <v>4521</v>
      </c>
      <c r="N18" s="26">
        <v>114110</v>
      </c>
    </row>
    <row r="19" spans="1:14" x14ac:dyDescent="0.35">
      <c r="A19" s="2">
        <v>358973</v>
      </c>
      <c r="B19" s="2" t="s">
        <v>188</v>
      </c>
      <c r="C19" s="2">
        <v>11760</v>
      </c>
      <c r="D19" s="2">
        <v>19509</v>
      </c>
      <c r="E19" s="2">
        <v>51123</v>
      </c>
      <c r="F19" s="2">
        <v>22628</v>
      </c>
      <c r="G19" s="2">
        <v>11964</v>
      </c>
      <c r="H19" s="2">
        <v>7503</v>
      </c>
      <c r="I19" s="2">
        <v>13352</v>
      </c>
      <c r="J19" s="2">
        <v>17384</v>
      </c>
      <c r="K19" s="2">
        <v>17606</v>
      </c>
      <c r="L19" s="2">
        <v>30330</v>
      </c>
      <c r="M19" s="2">
        <v>15828</v>
      </c>
      <c r="N19" s="2">
        <v>218987</v>
      </c>
    </row>
    <row r="20" spans="1:14" x14ac:dyDescent="0.35">
      <c r="A20" s="2">
        <v>197962</v>
      </c>
      <c r="B20" s="2" t="s">
        <v>200</v>
      </c>
      <c r="C20" s="2">
        <v>11634</v>
      </c>
      <c r="D20" s="2">
        <v>4740</v>
      </c>
      <c r="E20" s="2">
        <v>5194</v>
      </c>
      <c r="F20" s="2">
        <v>2596</v>
      </c>
      <c r="G20" s="2">
        <v>3083</v>
      </c>
      <c r="H20" s="2">
        <v>1474</v>
      </c>
      <c r="I20" s="2">
        <v>11845</v>
      </c>
      <c r="J20" s="2">
        <v>11707</v>
      </c>
      <c r="K20" s="2">
        <v>1712</v>
      </c>
      <c r="L20" s="2">
        <v>1057</v>
      </c>
      <c r="M20" s="2">
        <v>2517</v>
      </c>
      <c r="N20" s="2">
        <v>57559</v>
      </c>
    </row>
    <row r="21" spans="1:14" s="33" customFormat="1" x14ac:dyDescent="0.35">
      <c r="A21" s="32">
        <v>234394</v>
      </c>
      <c r="B21" s="32" t="s">
        <v>43</v>
      </c>
      <c r="C21" s="32">
        <v>11023</v>
      </c>
      <c r="D21" s="32">
        <v>46643</v>
      </c>
      <c r="E21" s="32">
        <v>120804</v>
      </c>
      <c r="F21" s="32">
        <v>93344</v>
      </c>
      <c r="G21" s="32">
        <v>90347</v>
      </c>
      <c r="H21" s="32">
        <v>32738</v>
      </c>
      <c r="I21" s="32">
        <v>117184</v>
      </c>
      <c r="J21" s="32">
        <v>68687</v>
      </c>
      <c r="K21" s="32">
        <v>78399</v>
      </c>
      <c r="L21" s="32">
        <v>19700</v>
      </c>
      <c r="M21" s="32">
        <v>15137</v>
      </c>
      <c r="N21" s="32">
        <v>694006</v>
      </c>
    </row>
    <row r="22" spans="1:14" s="17" customFormat="1" x14ac:dyDescent="0.35">
      <c r="A22" s="26">
        <v>3878</v>
      </c>
      <c r="B22" s="26" t="s">
        <v>205</v>
      </c>
      <c r="C22" s="26">
        <v>9951</v>
      </c>
      <c r="D22" s="26">
        <v>2162</v>
      </c>
      <c r="E22" s="26">
        <v>4901</v>
      </c>
      <c r="F22" s="26">
        <v>4316</v>
      </c>
      <c r="G22" s="26">
        <v>3991</v>
      </c>
      <c r="H22" s="26">
        <v>6321</v>
      </c>
      <c r="I22" s="26">
        <v>10483</v>
      </c>
      <c r="J22" s="26">
        <v>2673</v>
      </c>
      <c r="K22" s="26">
        <v>811</v>
      </c>
      <c r="L22" s="26">
        <v>584</v>
      </c>
      <c r="M22" s="26">
        <v>562</v>
      </c>
      <c r="N22" s="26">
        <v>46755</v>
      </c>
    </row>
    <row r="23" spans="1:14" x14ac:dyDescent="0.35">
      <c r="A23" s="2">
        <v>245696</v>
      </c>
      <c r="B23" s="2" t="s">
        <v>190</v>
      </c>
      <c r="C23" s="2">
        <v>9234</v>
      </c>
      <c r="D23" s="2">
        <v>7498</v>
      </c>
      <c r="E23" s="2">
        <v>13162</v>
      </c>
      <c r="F23" s="2">
        <v>14434</v>
      </c>
      <c r="G23" s="2">
        <v>6250</v>
      </c>
      <c r="H23" s="2">
        <v>5216</v>
      </c>
      <c r="I23" s="2">
        <v>2987</v>
      </c>
      <c r="J23" s="2">
        <v>7211</v>
      </c>
      <c r="K23" s="2">
        <v>38256</v>
      </c>
      <c r="L23" s="2">
        <v>14401</v>
      </c>
      <c r="M23" s="2">
        <v>5625</v>
      </c>
      <c r="N23" s="2">
        <v>124274</v>
      </c>
    </row>
    <row r="24" spans="1:14" x14ac:dyDescent="0.35">
      <c r="A24" s="2">
        <v>218247</v>
      </c>
      <c r="B24" s="2" t="s">
        <v>62</v>
      </c>
      <c r="C24" s="2">
        <v>8847</v>
      </c>
      <c r="D24" s="2">
        <v>3896</v>
      </c>
      <c r="E24" s="2">
        <v>7240</v>
      </c>
      <c r="F24" s="2">
        <v>15498</v>
      </c>
      <c r="G24" s="2">
        <v>9291</v>
      </c>
      <c r="H24" s="2">
        <v>20846</v>
      </c>
      <c r="I24" s="2">
        <v>9711</v>
      </c>
      <c r="J24" s="2">
        <v>18784</v>
      </c>
      <c r="K24" s="2">
        <v>19952</v>
      </c>
      <c r="L24" s="2">
        <v>10667</v>
      </c>
      <c r="M24" s="2">
        <v>13999</v>
      </c>
      <c r="N24" s="2">
        <v>138731</v>
      </c>
    </row>
    <row r="25" spans="1:14" x14ac:dyDescent="0.35">
      <c r="A25" s="2">
        <v>358345</v>
      </c>
      <c r="B25" s="2" t="s">
        <v>57</v>
      </c>
      <c r="C25" s="2">
        <v>7567</v>
      </c>
      <c r="D25" s="2">
        <v>6668</v>
      </c>
      <c r="E25" s="2">
        <v>30173</v>
      </c>
      <c r="F25" s="2">
        <v>23632</v>
      </c>
      <c r="G25" s="2">
        <v>7004</v>
      </c>
      <c r="H25" s="2">
        <v>12546</v>
      </c>
      <c r="I25" s="2">
        <v>8348</v>
      </c>
      <c r="J25" s="2">
        <v>6588</v>
      </c>
      <c r="K25" s="2">
        <v>7413</v>
      </c>
      <c r="L25" s="2">
        <v>5450</v>
      </c>
      <c r="M25" s="2">
        <v>13254</v>
      </c>
      <c r="N25" s="2">
        <v>128643</v>
      </c>
    </row>
    <row r="26" spans="1:14" x14ac:dyDescent="0.35">
      <c r="A26" s="2">
        <v>220337</v>
      </c>
      <c r="B26" s="2" t="s">
        <v>194</v>
      </c>
      <c r="C26" s="2">
        <v>7213</v>
      </c>
      <c r="D26" s="2">
        <v>10055</v>
      </c>
      <c r="E26" s="2">
        <v>8717</v>
      </c>
      <c r="F26" s="2">
        <v>10022</v>
      </c>
      <c r="G26" s="2">
        <v>9646</v>
      </c>
      <c r="H26" s="2">
        <v>5697</v>
      </c>
      <c r="I26" s="2">
        <v>7121</v>
      </c>
      <c r="J26" s="2">
        <v>7614</v>
      </c>
      <c r="K26" s="2">
        <v>17585</v>
      </c>
      <c r="L26" s="2">
        <v>6064</v>
      </c>
      <c r="M26" s="2">
        <v>4144</v>
      </c>
      <c r="N26" s="2">
        <v>93878</v>
      </c>
    </row>
    <row r="27" spans="1:14" x14ac:dyDescent="0.35">
      <c r="A27" s="2">
        <v>244256</v>
      </c>
      <c r="B27" s="2" t="s">
        <v>191</v>
      </c>
      <c r="C27" s="2">
        <v>6406</v>
      </c>
      <c r="D27" s="2">
        <v>6743</v>
      </c>
      <c r="E27" s="2">
        <v>7396</v>
      </c>
      <c r="F27" s="2">
        <v>11993</v>
      </c>
      <c r="G27" s="2">
        <v>7360</v>
      </c>
      <c r="H27" s="2">
        <v>9604</v>
      </c>
      <c r="I27" s="2">
        <v>8821</v>
      </c>
      <c r="J27" s="2">
        <v>17759</v>
      </c>
      <c r="K27" s="2">
        <v>19261</v>
      </c>
      <c r="L27" s="2">
        <v>13563</v>
      </c>
      <c r="M27" s="2">
        <v>12447</v>
      </c>
      <c r="N27" s="2">
        <v>121353</v>
      </c>
    </row>
    <row r="28" spans="1:14" x14ac:dyDescent="0.35">
      <c r="A28" s="2">
        <v>326429</v>
      </c>
      <c r="B28" s="2" t="s">
        <v>25</v>
      </c>
      <c r="C28" s="2">
        <v>6150</v>
      </c>
      <c r="D28" s="2">
        <v>5854</v>
      </c>
      <c r="E28" s="2">
        <v>8811</v>
      </c>
      <c r="F28" s="2">
        <v>9143</v>
      </c>
      <c r="G28" s="2">
        <v>5472</v>
      </c>
      <c r="H28" s="2">
        <v>9372</v>
      </c>
      <c r="I28" s="2">
        <v>5734</v>
      </c>
      <c r="J28" s="2">
        <v>15820</v>
      </c>
      <c r="K28" s="2">
        <v>17312</v>
      </c>
      <c r="L28" s="2">
        <v>10162</v>
      </c>
      <c r="M28" s="2">
        <v>11232</v>
      </c>
      <c r="N28" s="2">
        <v>105062</v>
      </c>
    </row>
    <row r="29" spans="1:14" s="33" customFormat="1" x14ac:dyDescent="0.35">
      <c r="A29" s="32">
        <v>382186</v>
      </c>
      <c r="B29" s="32" t="s">
        <v>137</v>
      </c>
      <c r="C29" s="32">
        <v>6033</v>
      </c>
      <c r="D29" s="32">
        <v>6328</v>
      </c>
      <c r="E29" s="32">
        <v>36078</v>
      </c>
      <c r="F29" s="32">
        <v>20533</v>
      </c>
      <c r="G29" s="32">
        <v>28905</v>
      </c>
      <c r="H29" s="32">
        <v>11307</v>
      </c>
      <c r="I29" s="32">
        <v>14168</v>
      </c>
      <c r="J29" s="32">
        <v>2495</v>
      </c>
      <c r="K29" s="32">
        <v>2076</v>
      </c>
      <c r="L29" s="32">
        <v>1659</v>
      </c>
      <c r="M29" s="32">
        <v>703</v>
      </c>
      <c r="N29" s="32">
        <v>130285</v>
      </c>
    </row>
    <row r="30" spans="1:14" x14ac:dyDescent="0.35">
      <c r="A30" s="2">
        <v>543860</v>
      </c>
      <c r="B30" s="2" t="s">
        <v>187</v>
      </c>
      <c r="C30" s="2">
        <v>5897</v>
      </c>
      <c r="D30" s="2">
        <v>17963</v>
      </c>
      <c r="E30" s="2">
        <v>29666</v>
      </c>
      <c r="F30" s="2">
        <v>25692</v>
      </c>
      <c r="G30" s="2">
        <v>10613</v>
      </c>
      <c r="H30" s="2">
        <v>67212</v>
      </c>
      <c r="I30" s="2">
        <v>20783</v>
      </c>
      <c r="J30" s="2">
        <v>18825</v>
      </c>
      <c r="K30" s="2">
        <v>14451</v>
      </c>
      <c r="L30" s="2">
        <v>20474</v>
      </c>
      <c r="M30" s="2">
        <v>20050</v>
      </c>
      <c r="N30" s="2">
        <v>251626</v>
      </c>
    </row>
    <row r="31" spans="1:14" s="17" customFormat="1" x14ac:dyDescent="0.35">
      <c r="A31" s="26">
        <v>232763</v>
      </c>
      <c r="B31" s="26" t="s">
        <v>113</v>
      </c>
      <c r="C31" s="26">
        <v>5409</v>
      </c>
      <c r="D31" s="26">
        <v>981</v>
      </c>
      <c r="E31" s="26">
        <v>5503</v>
      </c>
      <c r="F31" s="26">
        <v>5365</v>
      </c>
      <c r="G31" s="26">
        <v>4988</v>
      </c>
      <c r="H31" s="26">
        <v>5453</v>
      </c>
      <c r="I31" s="26">
        <v>3614</v>
      </c>
      <c r="J31" s="26">
        <v>3505</v>
      </c>
      <c r="K31" s="26">
        <v>1309</v>
      </c>
      <c r="L31" s="26">
        <v>1042</v>
      </c>
      <c r="M31" s="26">
        <v>396</v>
      </c>
      <c r="N31" s="26">
        <v>37565</v>
      </c>
    </row>
    <row r="32" spans="1:14" x14ac:dyDescent="0.35">
      <c r="A32" s="2">
        <v>327281</v>
      </c>
      <c r="B32" s="2" t="s">
        <v>39</v>
      </c>
      <c r="C32" s="2">
        <v>4657</v>
      </c>
      <c r="D32" s="2">
        <v>11314</v>
      </c>
      <c r="E32" s="2">
        <v>15766</v>
      </c>
      <c r="F32" s="2">
        <v>9047</v>
      </c>
      <c r="G32" s="2">
        <v>4443</v>
      </c>
      <c r="H32" s="2">
        <v>5112</v>
      </c>
      <c r="I32" s="2">
        <v>5212</v>
      </c>
      <c r="J32" s="2">
        <v>11659</v>
      </c>
      <c r="K32" s="2">
        <v>11312</v>
      </c>
      <c r="L32" s="2">
        <v>10946</v>
      </c>
      <c r="M32" s="2">
        <v>734721</v>
      </c>
      <c r="N32" s="2">
        <v>824189</v>
      </c>
    </row>
    <row r="33" spans="1:14" x14ac:dyDescent="0.35">
      <c r="A33" s="2">
        <v>364310</v>
      </c>
      <c r="B33" s="2" t="s">
        <v>35</v>
      </c>
      <c r="C33" s="2">
        <v>4507</v>
      </c>
      <c r="D33" s="2">
        <v>3217</v>
      </c>
      <c r="E33" s="2">
        <v>7609</v>
      </c>
      <c r="F33" s="2">
        <v>8096</v>
      </c>
      <c r="G33" s="2">
        <v>7131</v>
      </c>
      <c r="H33" s="2">
        <v>4708</v>
      </c>
      <c r="I33" s="2">
        <v>9789</v>
      </c>
      <c r="J33" s="2">
        <v>10816</v>
      </c>
      <c r="K33" s="2">
        <v>8019</v>
      </c>
      <c r="L33" s="2">
        <v>7538</v>
      </c>
      <c r="M33" s="2">
        <v>6578</v>
      </c>
      <c r="N33" s="2">
        <v>78008</v>
      </c>
    </row>
    <row r="34" spans="1:14" x14ac:dyDescent="0.35">
      <c r="A34" s="2">
        <v>220341</v>
      </c>
      <c r="B34" s="2" t="s">
        <v>199</v>
      </c>
      <c r="C34" s="2">
        <v>3910</v>
      </c>
      <c r="D34" s="2">
        <v>6690</v>
      </c>
      <c r="E34" s="2">
        <v>13252</v>
      </c>
      <c r="F34" s="2">
        <v>10670</v>
      </c>
      <c r="G34" s="2">
        <v>8328</v>
      </c>
      <c r="H34" s="2">
        <v>3628</v>
      </c>
      <c r="I34" s="2">
        <v>6246</v>
      </c>
      <c r="J34" s="2">
        <v>5235</v>
      </c>
      <c r="K34" s="2">
        <v>1871</v>
      </c>
      <c r="L34" s="2">
        <v>1586</v>
      </c>
      <c r="M34" s="2">
        <v>910</v>
      </c>
      <c r="N34" s="2">
        <v>62326</v>
      </c>
    </row>
    <row r="35" spans="1:14" x14ac:dyDescent="0.35">
      <c r="A35" s="2">
        <v>232913</v>
      </c>
      <c r="B35" s="2" t="s">
        <v>64</v>
      </c>
      <c r="C35" s="2">
        <v>3889</v>
      </c>
      <c r="D35" s="2">
        <v>1372</v>
      </c>
      <c r="E35" s="2">
        <v>5032</v>
      </c>
      <c r="F35" s="2">
        <v>3472</v>
      </c>
      <c r="G35" s="2">
        <v>1492</v>
      </c>
      <c r="H35" s="2">
        <v>5937</v>
      </c>
      <c r="I35" s="2">
        <v>986</v>
      </c>
      <c r="J35" s="2">
        <v>1343</v>
      </c>
      <c r="K35" s="2">
        <v>1054</v>
      </c>
      <c r="L35" s="2">
        <v>27593</v>
      </c>
      <c r="M35" s="2">
        <v>1276</v>
      </c>
      <c r="N35" s="2">
        <v>53446</v>
      </c>
    </row>
    <row r="36" spans="1:14" x14ac:dyDescent="0.35">
      <c r="A36" s="2">
        <v>326426</v>
      </c>
      <c r="B36" s="2" t="s">
        <v>195</v>
      </c>
      <c r="C36" s="2">
        <v>3832</v>
      </c>
      <c r="D36" s="2">
        <v>4008</v>
      </c>
      <c r="E36" s="2">
        <v>11551</v>
      </c>
      <c r="F36" s="2">
        <v>6147</v>
      </c>
      <c r="G36" s="2">
        <v>4767</v>
      </c>
      <c r="H36" s="2">
        <v>6590</v>
      </c>
      <c r="I36" s="2">
        <v>7321</v>
      </c>
      <c r="J36" s="2">
        <v>10579</v>
      </c>
      <c r="K36" s="2">
        <v>14839</v>
      </c>
      <c r="L36" s="2">
        <v>10867</v>
      </c>
      <c r="M36" s="2">
        <v>11637</v>
      </c>
      <c r="N36" s="2">
        <v>92138</v>
      </c>
    </row>
    <row r="37" spans="1:14" x14ac:dyDescent="0.35">
      <c r="A37" s="2">
        <v>553935</v>
      </c>
      <c r="B37" s="2" t="s">
        <v>193</v>
      </c>
      <c r="C37" s="2">
        <v>3620</v>
      </c>
      <c r="D37" s="2">
        <v>2451</v>
      </c>
      <c r="E37" s="2">
        <v>4094</v>
      </c>
      <c r="F37" s="2">
        <v>4212</v>
      </c>
      <c r="G37" s="2">
        <v>45093</v>
      </c>
      <c r="H37" s="2">
        <v>5118</v>
      </c>
      <c r="I37" s="2">
        <v>3393</v>
      </c>
      <c r="J37" s="2">
        <v>6710</v>
      </c>
      <c r="K37" s="2">
        <v>7006</v>
      </c>
      <c r="L37" s="2">
        <v>10280</v>
      </c>
      <c r="M37" s="2">
        <v>3239</v>
      </c>
      <c r="N37" s="2">
        <v>95216</v>
      </c>
    </row>
    <row r="38" spans="1:14" x14ac:dyDescent="0.35">
      <c r="A38" s="2">
        <v>443927</v>
      </c>
      <c r="B38" s="2" t="s">
        <v>218</v>
      </c>
      <c r="C38" s="2">
        <v>3585</v>
      </c>
      <c r="D38" s="2">
        <v>4654</v>
      </c>
      <c r="E38" s="2">
        <v>5825</v>
      </c>
      <c r="F38" s="2">
        <v>5144</v>
      </c>
      <c r="G38" s="2">
        <v>2757</v>
      </c>
      <c r="H38" s="2">
        <v>1594</v>
      </c>
      <c r="I38" s="2">
        <v>164</v>
      </c>
      <c r="J38" s="2">
        <v>793</v>
      </c>
      <c r="K38" s="2">
        <v>306</v>
      </c>
      <c r="L38" s="2">
        <v>824</v>
      </c>
      <c r="M38" s="2">
        <v>266</v>
      </c>
      <c r="N38" s="2">
        <v>25912</v>
      </c>
    </row>
    <row r="39" spans="1:14" x14ac:dyDescent="0.35">
      <c r="A39" s="2">
        <v>338681</v>
      </c>
      <c r="B39" s="2" t="s">
        <v>223</v>
      </c>
      <c r="C39" s="2">
        <v>3530</v>
      </c>
      <c r="D39" s="2">
        <v>852</v>
      </c>
      <c r="E39" s="2">
        <v>1891</v>
      </c>
      <c r="F39" s="2">
        <v>2525</v>
      </c>
      <c r="G39" s="2">
        <v>1338</v>
      </c>
      <c r="H39" s="2">
        <v>1322</v>
      </c>
      <c r="I39" s="2">
        <v>1577</v>
      </c>
      <c r="J39" s="2">
        <v>1853</v>
      </c>
      <c r="K39" s="2">
        <v>2077</v>
      </c>
      <c r="L39" s="2">
        <v>1486</v>
      </c>
      <c r="M39" s="2">
        <v>1794</v>
      </c>
      <c r="N39" s="2">
        <v>20245</v>
      </c>
    </row>
    <row r="40" spans="1:14" x14ac:dyDescent="0.35">
      <c r="A40" s="2">
        <v>338695</v>
      </c>
      <c r="B40" s="2" t="s">
        <v>230</v>
      </c>
      <c r="C40" s="2">
        <v>3522</v>
      </c>
      <c r="D40" s="2">
        <v>1333</v>
      </c>
      <c r="E40" s="2">
        <v>925</v>
      </c>
      <c r="F40" s="2">
        <v>697</v>
      </c>
      <c r="G40" s="2">
        <v>468</v>
      </c>
      <c r="H40" s="2">
        <v>1765</v>
      </c>
      <c r="I40" s="2">
        <v>1681</v>
      </c>
      <c r="J40" s="2">
        <v>115</v>
      </c>
      <c r="K40" s="2">
        <v>355</v>
      </c>
      <c r="L40" s="2">
        <v>984</v>
      </c>
      <c r="M40" s="2">
        <v>474</v>
      </c>
      <c r="N40" s="2">
        <v>12319</v>
      </c>
    </row>
    <row r="41" spans="1:14" x14ac:dyDescent="0.35">
      <c r="A41" s="2">
        <v>398300</v>
      </c>
      <c r="B41" s="2" t="s">
        <v>198</v>
      </c>
      <c r="C41" s="2">
        <v>3289</v>
      </c>
      <c r="D41" s="2">
        <v>3727</v>
      </c>
      <c r="E41" s="2">
        <v>5823</v>
      </c>
      <c r="F41" s="2">
        <v>18098</v>
      </c>
      <c r="G41" s="2">
        <v>6099</v>
      </c>
      <c r="H41" s="2">
        <v>5224</v>
      </c>
      <c r="I41" s="2">
        <v>4494</v>
      </c>
      <c r="J41" s="2">
        <v>4900</v>
      </c>
      <c r="K41" s="2">
        <v>3961</v>
      </c>
      <c r="L41" s="2">
        <v>3039</v>
      </c>
      <c r="M41" s="2">
        <v>4098</v>
      </c>
      <c r="N41" s="2">
        <v>62752</v>
      </c>
    </row>
    <row r="42" spans="1:14" x14ac:dyDescent="0.35">
      <c r="A42" s="2">
        <v>327280</v>
      </c>
      <c r="B42" s="2" t="s">
        <v>196</v>
      </c>
      <c r="C42" s="2">
        <v>3104</v>
      </c>
      <c r="D42" s="2">
        <v>1592</v>
      </c>
      <c r="E42" s="2">
        <v>5869</v>
      </c>
      <c r="F42" s="2">
        <v>5029</v>
      </c>
      <c r="G42" s="2">
        <v>5010</v>
      </c>
      <c r="H42" s="2">
        <v>2948</v>
      </c>
      <c r="I42" s="2">
        <v>5148</v>
      </c>
      <c r="J42" s="2">
        <v>22492</v>
      </c>
      <c r="K42" s="2">
        <v>21300</v>
      </c>
      <c r="L42" s="2">
        <v>8590</v>
      </c>
      <c r="M42" s="2">
        <v>8488</v>
      </c>
      <c r="N42" s="2">
        <v>89570</v>
      </c>
    </row>
    <row r="43" spans="1:14" x14ac:dyDescent="0.35">
      <c r="A43" s="2">
        <v>381917</v>
      </c>
      <c r="B43" s="2" t="s">
        <v>209</v>
      </c>
      <c r="C43" s="2">
        <v>2977</v>
      </c>
      <c r="D43" s="2">
        <v>1294</v>
      </c>
      <c r="E43" s="2">
        <v>1367</v>
      </c>
      <c r="F43" s="2">
        <v>3754</v>
      </c>
      <c r="G43" s="2">
        <v>3309</v>
      </c>
      <c r="H43" s="2">
        <v>1300</v>
      </c>
      <c r="I43" s="2">
        <v>5718</v>
      </c>
      <c r="J43" s="2">
        <v>2067</v>
      </c>
      <c r="K43" s="2">
        <v>8217</v>
      </c>
      <c r="L43" s="2">
        <v>3622</v>
      </c>
      <c r="M43" s="2">
        <v>1000</v>
      </c>
      <c r="N43" s="2">
        <v>34625</v>
      </c>
    </row>
    <row r="44" spans="1:14" x14ac:dyDescent="0.35">
      <c r="A44" s="2">
        <v>1333843</v>
      </c>
      <c r="B44" s="2" t="s">
        <v>181</v>
      </c>
      <c r="C44" s="2">
        <v>2961</v>
      </c>
      <c r="D44" s="2">
        <v>3742</v>
      </c>
      <c r="E44" s="2">
        <v>2498</v>
      </c>
      <c r="F44" s="2">
        <v>1237</v>
      </c>
      <c r="G44" s="2">
        <v>1071</v>
      </c>
      <c r="H44" s="2">
        <v>1240</v>
      </c>
      <c r="I44" s="2">
        <v>3829</v>
      </c>
      <c r="J44" s="2">
        <v>940</v>
      </c>
      <c r="K44" s="2">
        <v>983</v>
      </c>
      <c r="L44" s="2">
        <v>504352</v>
      </c>
      <c r="M44" s="2">
        <v>501535</v>
      </c>
      <c r="N44" s="2">
        <v>1024388</v>
      </c>
    </row>
    <row r="45" spans="1:14" x14ac:dyDescent="0.35">
      <c r="A45" s="2">
        <v>495682</v>
      </c>
      <c r="B45" s="2" t="s">
        <v>91</v>
      </c>
      <c r="C45" s="2">
        <v>2814</v>
      </c>
      <c r="D45" s="2">
        <v>2522</v>
      </c>
      <c r="E45" s="2">
        <v>1266</v>
      </c>
      <c r="F45" s="2">
        <v>1382</v>
      </c>
      <c r="G45" s="2">
        <v>1145</v>
      </c>
      <c r="H45" s="2">
        <v>768</v>
      </c>
      <c r="I45" s="2">
        <v>320</v>
      </c>
      <c r="J45" s="2">
        <v>562</v>
      </c>
      <c r="K45" s="2">
        <v>516</v>
      </c>
      <c r="L45" s="2">
        <v>510</v>
      </c>
      <c r="M45" s="2">
        <v>601</v>
      </c>
      <c r="N45" s="2">
        <v>12406</v>
      </c>
    </row>
    <row r="46" spans="1:14" x14ac:dyDescent="0.35">
      <c r="A46" s="2">
        <v>326425</v>
      </c>
      <c r="B46" s="2" t="s">
        <v>14</v>
      </c>
      <c r="C46" s="2">
        <v>2621</v>
      </c>
      <c r="D46" s="2">
        <v>3261</v>
      </c>
      <c r="E46" s="2">
        <v>3295</v>
      </c>
      <c r="F46" s="2">
        <v>4665</v>
      </c>
      <c r="G46" s="2">
        <v>4128</v>
      </c>
      <c r="H46" s="2">
        <v>9776</v>
      </c>
      <c r="I46" s="2">
        <v>4324</v>
      </c>
      <c r="J46" s="2">
        <v>5197</v>
      </c>
      <c r="K46" s="2">
        <v>2761</v>
      </c>
      <c r="L46" s="2">
        <v>3171</v>
      </c>
      <c r="M46" s="2">
        <v>2758</v>
      </c>
      <c r="N46" s="2">
        <v>45957</v>
      </c>
    </row>
    <row r="47" spans="1:14" x14ac:dyDescent="0.35">
      <c r="A47" s="2">
        <v>195698</v>
      </c>
      <c r="B47" s="2" t="s">
        <v>203</v>
      </c>
      <c r="C47" s="2">
        <v>2581</v>
      </c>
      <c r="D47" s="2">
        <v>3716</v>
      </c>
      <c r="E47" s="2">
        <v>14447</v>
      </c>
      <c r="F47" s="2">
        <v>5606</v>
      </c>
      <c r="G47" s="2">
        <v>1996</v>
      </c>
      <c r="H47" s="2">
        <v>1489</v>
      </c>
      <c r="I47" s="2">
        <v>6674</v>
      </c>
      <c r="J47" s="2">
        <v>7951</v>
      </c>
      <c r="K47" s="2">
        <v>4885</v>
      </c>
      <c r="L47" s="2">
        <v>2607</v>
      </c>
      <c r="M47" s="2">
        <v>1530</v>
      </c>
      <c r="N47" s="2">
        <v>53482</v>
      </c>
    </row>
    <row r="48" spans="1:14" s="33" customFormat="1" x14ac:dyDescent="0.35">
      <c r="A48" s="32">
        <v>213405</v>
      </c>
      <c r="B48" s="32" t="s">
        <v>30</v>
      </c>
      <c r="C48" s="32">
        <v>2524</v>
      </c>
      <c r="D48" s="32">
        <v>2514</v>
      </c>
      <c r="E48" s="32">
        <v>3150</v>
      </c>
      <c r="F48" s="32">
        <v>123190</v>
      </c>
      <c r="G48" s="32">
        <v>10387</v>
      </c>
      <c r="H48" s="32">
        <v>4929</v>
      </c>
      <c r="I48" s="32">
        <v>13576</v>
      </c>
      <c r="J48" s="32">
        <v>9293</v>
      </c>
      <c r="K48" s="32">
        <v>8205</v>
      </c>
      <c r="L48" s="32">
        <v>5460</v>
      </c>
      <c r="M48" s="32">
        <v>5821</v>
      </c>
      <c r="N48" s="32">
        <v>189049</v>
      </c>
    </row>
    <row r="49" spans="1:14" x14ac:dyDescent="0.35">
      <c r="A49" s="2">
        <v>427346</v>
      </c>
      <c r="B49" s="2" t="s">
        <v>94</v>
      </c>
      <c r="C49" s="2">
        <v>2522</v>
      </c>
      <c r="D49" s="2">
        <v>460</v>
      </c>
      <c r="E49" s="2">
        <v>1193</v>
      </c>
      <c r="F49" s="2">
        <v>1091</v>
      </c>
      <c r="G49" s="2">
        <v>1457</v>
      </c>
      <c r="H49" s="2">
        <v>630</v>
      </c>
      <c r="I49" s="2">
        <v>1088</v>
      </c>
      <c r="J49" s="2">
        <v>2208</v>
      </c>
      <c r="K49" s="2">
        <v>1319</v>
      </c>
      <c r="L49" s="2">
        <v>1308</v>
      </c>
      <c r="M49" s="2">
        <v>434</v>
      </c>
      <c r="N49" s="2">
        <v>13710</v>
      </c>
    </row>
    <row r="50" spans="1:14" x14ac:dyDescent="0.35">
      <c r="A50" s="2">
        <v>242269</v>
      </c>
      <c r="B50" s="2" t="s">
        <v>15</v>
      </c>
      <c r="C50" s="2">
        <v>2234</v>
      </c>
      <c r="D50" s="2">
        <v>1548</v>
      </c>
      <c r="E50" s="2">
        <v>3856</v>
      </c>
      <c r="F50" s="2">
        <v>2951</v>
      </c>
      <c r="G50" s="2">
        <v>2134</v>
      </c>
      <c r="H50" s="2">
        <v>1284</v>
      </c>
      <c r="I50" s="2">
        <v>5958</v>
      </c>
      <c r="J50" s="2">
        <v>6277</v>
      </c>
      <c r="K50" s="2">
        <v>13121</v>
      </c>
      <c r="L50" s="2">
        <v>15250</v>
      </c>
      <c r="M50" s="2">
        <v>6436</v>
      </c>
      <c r="N50" s="2">
        <v>61049</v>
      </c>
    </row>
    <row r="51" spans="1:14" x14ac:dyDescent="0.35">
      <c r="A51" s="2">
        <v>338748</v>
      </c>
      <c r="B51" s="2" t="s">
        <v>26</v>
      </c>
      <c r="C51" s="2">
        <v>2118</v>
      </c>
      <c r="D51" s="2">
        <v>1442</v>
      </c>
      <c r="E51" s="2">
        <v>3997</v>
      </c>
      <c r="F51" s="2">
        <v>4649</v>
      </c>
      <c r="G51" s="2">
        <v>3082</v>
      </c>
      <c r="H51" s="2">
        <v>2033</v>
      </c>
      <c r="I51" s="2">
        <v>11028</v>
      </c>
      <c r="J51" s="2">
        <v>10894</v>
      </c>
      <c r="K51" s="2">
        <v>6735</v>
      </c>
      <c r="L51" s="2">
        <v>10799</v>
      </c>
      <c r="M51" s="2">
        <v>5011</v>
      </c>
      <c r="N51" s="2">
        <v>61788</v>
      </c>
    </row>
    <row r="52" spans="1:14" x14ac:dyDescent="0.35">
      <c r="A52" s="2">
        <v>213202</v>
      </c>
      <c r="B52" s="2" t="s">
        <v>222</v>
      </c>
      <c r="C52" s="2">
        <v>2117</v>
      </c>
      <c r="D52" s="2">
        <v>342</v>
      </c>
      <c r="E52" s="2">
        <v>596</v>
      </c>
      <c r="F52" s="2">
        <v>632</v>
      </c>
      <c r="G52" s="2">
        <v>6353</v>
      </c>
      <c r="H52" s="2">
        <v>430</v>
      </c>
      <c r="I52" s="2">
        <v>598</v>
      </c>
      <c r="J52" s="2">
        <v>698</v>
      </c>
      <c r="K52" s="2">
        <v>7587</v>
      </c>
      <c r="L52" s="2">
        <v>746</v>
      </c>
      <c r="M52" s="2">
        <v>735</v>
      </c>
      <c r="N52" s="2">
        <v>20834</v>
      </c>
    </row>
    <row r="53" spans="1:14" x14ac:dyDescent="0.35">
      <c r="A53" s="2">
        <v>498419</v>
      </c>
      <c r="B53" s="2" t="s">
        <v>27</v>
      </c>
      <c r="C53" s="2">
        <v>1875</v>
      </c>
      <c r="D53" s="2">
        <v>1068</v>
      </c>
      <c r="E53" s="2">
        <v>279</v>
      </c>
      <c r="F53" s="2">
        <v>1123</v>
      </c>
      <c r="G53" s="2">
        <v>859</v>
      </c>
      <c r="H53" s="2">
        <v>256</v>
      </c>
      <c r="I53" s="2">
        <v>3791</v>
      </c>
      <c r="J53" s="2">
        <v>948</v>
      </c>
      <c r="K53" s="2">
        <v>2358</v>
      </c>
      <c r="L53" s="2">
        <v>381</v>
      </c>
      <c r="M53" s="2">
        <v>292</v>
      </c>
      <c r="N53" s="2">
        <v>13230</v>
      </c>
    </row>
    <row r="54" spans="1:14" x14ac:dyDescent="0.35">
      <c r="A54" s="2">
        <v>237326</v>
      </c>
      <c r="B54" s="2" t="s">
        <v>192</v>
      </c>
      <c r="C54" s="2">
        <v>1815</v>
      </c>
      <c r="D54" s="2">
        <v>1985</v>
      </c>
      <c r="E54" s="2">
        <v>4675</v>
      </c>
      <c r="F54" s="2">
        <v>3200</v>
      </c>
      <c r="G54" s="2">
        <v>3127</v>
      </c>
      <c r="H54" s="2">
        <v>4106</v>
      </c>
      <c r="I54" s="2">
        <v>2038</v>
      </c>
      <c r="J54" s="2">
        <v>6103</v>
      </c>
      <c r="K54" s="2">
        <v>61370</v>
      </c>
      <c r="L54" s="2">
        <v>9949</v>
      </c>
      <c r="M54" s="2">
        <v>12137</v>
      </c>
      <c r="N54" s="2">
        <v>110505</v>
      </c>
    </row>
    <row r="55" spans="1:14" x14ac:dyDescent="0.35">
      <c r="A55" s="2">
        <v>587965</v>
      </c>
      <c r="B55" s="2" t="s">
        <v>76</v>
      </c>
      <c r="C55" s="2">
        <v>1746</v>
      </c>
      <c r="D55" s="2">
        <v>1809</v>
      </c>
      <c r="E55" s="2">
        <v>2217</v>
      </c>
      <c r="F55" s="2">
        <v>2368</v>
      </c>
      <c r="G55" s="2">
        <v>3257</v>
      </c>
      <c r="H55" s="2">
        <v>2329</v>
      </c>
      <c r="I55" s="2">
        <v>1680</v>
      </c>
      <c r="J55" s="2">
        <v>4866</v>
      </c>
      <c r="K55" s="2">
        <v>6464</v>
      </c>
      <c r="L55" s="2">
        <v>3932</v>
      </c>
      <c r="M55" s="2">
        <v>2442</v>
      </c>
      <c r="N55" s="2">
        <v>33110</v>
      </c>
    </row>
    <row r="56" spans="1:14" s="17" customFormat="1" x14ac:dyDescent="0.35">
      <c r="A56" s="26">
        <v>359300</v>
      </c>
      <c r="B56" s="26" t="s">
        <v>93</v>
      </c>
      <c r="C56" s="26">
        <v>1698</v>
      </c>
      <c r="D56" s="26">
        <v>11390</v>
      </c>
      <c r="E56" s="26">
        <v>7583</v>
      </c>
      <c r="F56" s="26">
        <v>9994</v>
      </c>
      <c r="G56" s="26">
        <v>3797</v>
      </c>
      <c r="H56" s="26">
        <v>4539</v>
      </c>
      <c r="I56" s="26">
        <v>4439</v>
      </c>
      <c r="J56" s="26">
        <v>4618</v>
      </c>
      <c r="K56" s="26">
        <v>4450</v>
      </c>
      <c r="L56" s="26">
        <v>5614</v>
      </c>
      <c r="M56" s="26">
        <v>2179</v>
      </c>
      <c r="N56" s="26">
        <v>60301</v>
      </c>
    </row>
    <row r="57" spans="1:14" x14ac:dyDescent="0.35">
      <c r="A57" s="2">
        <v>359121</v>
      </c>
      <c r="B57" s="2" t="s">
        <v>46</v>
      </c>
      <c r="C57" s="2">
        <v>1651</v>
      </c>
      <c r="D57" s="2">
        <v>3372</v>
      </c>
      <c r="E57" s="2">
        <v>4115</v>
      </c>
      <c r="F57" s="2">
        <v>6333</v>
      </c>
      <c r="G57" s="2">
        <v>3280</v>
      </c>
      <c r="H57" s="2">
        <v>2097</v>
      </c>
      <c r="I57" s="2">
        <v>3720</v>
      </c>
      <c r="J57" s="2">
        <v>5459</v>
      </c>
      <c r="K57" s="2">
        <v>17717</v>
      </c>
      <c r="L57" s="2">
        <v>7264</v>
      </c>
      <c r="M57" s="2">
        <v>3230</v>
      </c>
      <c r="N57" s="2">
        <v>58238</v>
      </c>
    </row>
    <row r="58" spans="1:14" x14ac:dyDescent="0.35">
      <c r="A58" s="2">
        <v>326703</v>
      </c>
      <c r="B58" s="2" t="s">
        <v>219</v>
      </c>
      <c r="C58" s="2">
        <v>1620</v>
      </c>
      <c r="D58" s="2">
        <v>1440</v>
      </c>
      <c r="E58" s="2">
        <v>4316</v>
      </c>
      <c r="F58" s="2">
        <v>2665</v>
      </c>
      <c r="G58" s="2">
        <v>1449</v>
      </c>
      <c r="H58" s="2">
        <v>1717</v>
      </c>
      <c r="I58" s="2">
        <v>2282</v>
      </c>
      <c r="J58" s="2">
        <v>2609</v>
      </c>
      <c r="K58" s="2">
        <v>3082</v>
      </c>
      <c r="L58" s="2">
        <v>3026</v>
      </c>
      <c r="M58" s="2">
        <v>1596</v>
      </c>
      <c r="N58" s="2">
        <v>25802</v>
      </c>
    </row>
    <row r="59" spans="1:14" x14ac:dyDescent="0.35">
      <c r="A59" s="2">
        <v>423761</v>
      </c>
      <c r="B59" s="2" t="s">
        <v>106</v>
      </c>
      <c r="C59" s="2">
        <v>1606</v>
      </c>
      <c r="D59" s="2">
        <v>7410</v>
      </c>
      <c r="E59" s="2">
        <v>13699</v>
      </c>
      <c r="F59" s="2">
        <v>9764</v>
      </c>
      <c r="G59" s="2">
        <v>4328</v>
      </c>
      <c r="H59" s="2">
        <v>4210</v>
      </c>
      <c r="I59" s="2">
        <v>15832</v>
      </c>
      <c r="J59" s="2">
        <v>11927</v>
      </c>
      <c r="K59" s="2">
        <v>5778</v>
      </c>
      <c r="L59" s="2">
        <v>6333</v>
      </c>
      <c r="M59" s="2">
        <v>6786</v>
      </c>
      <c r="N59" s="2">
        <v>87673</v>
      </c>
    </row>
    <row r="60" spans="1:14" x14ac:dyDescent="0.35">
      <c r="A60" s="2">
        <v>5520961</v>
      </c>
      <c r="B60" s="2" t="s">
        <v>48</v>
      </c>
      <c r="C60" s="2">
        <v>1484</v>
      </c>
      <c r="D60" s="2">
        <v>854</v>
      </c>
      <c r="E60" s="2">
        <v>2105</v>
      </c>
      <c r="F60" s="2">
        <v>2177</v>
      </c>
      <c r="G60" s="2">
        <v>1437</v>
      </c>
      <c r="H60" s="2">
        <v>855</v>
      </c>
      <c r="I60" s="2">
        <v>1209</v>
      </c>
      <c r="J60" s="2">
        <v>7003</v>
      </c>
      <c r="K60" s="2">
        <v>15860</v>
      </c>
      <c r="L60" s="2">
        <v>7112</v>
      </c>
      <c r="M60" s="2">
        <v>2449</v>
      </c>
      <c r="N60" s="2">
        <v>42545</v>
      </c>
    </row>
    <row r="61" spans="1:14" x14ac:dyDescent="0.35">
      <c r="A61" s="2">
        <v>404848</v>
      </c>
      <c r="B61" s="2" t="s">
        <v>255</v>
      </c>
      <c r="C61" s="2">
        <v>1461</v>
      </c>
      <c r="D61" s="2">
        <v>46</v>
      </c>
      <c r="E61" s="2">
        <v>30</v>
      </c>
      <c r="F61" s="2">
        <v>40</v>
      </c>
      <c r="G61" s="2">
        <v>49</v>
      </c>
      <c r="H61" s="2">
        <v>83</v>
      </c>
      <c r="I61" s="2">
        <v>1592</v>
      </c>
      <c r="J61" s="2">
        <v>175</v>
      </c>
      <c r="K61" s="2">
        <v>324</v>
      </c>
      <c r="L61" s="2">
        <v>368</v>
      </c>
      <c r="M61" s="2">
        <v>84</v>
      </c>
      <c r="N61" s="2">
        <v>4252</v>
      </c>
    </row>
    <row r="62" spans="1:14" x14ac:dyDescent="0.35">
      <c r="A62" s="2">
        <v>338682</v>
      </c>
      <c r="B62" s="2" t="s">
        <v>220</v>
      </c>
      <c r="C62" s="2">
        <v>1458</v>
      </c>
      <c r="D62" s="2">
        <v>1492</v>
      </c>
      <c r="E62" s="2">
        <v>2826</v>
      </c>
      <c r="F62" s="2">
        <v>2887</v>
      </c>
      <c r="G62" s="2">
        <v>1973</v>
      </c>
      <c r="H62" s="2">
        <v>1892</v>
      </c>
      <c r="I62" s="2">
        <v>2599</v>
      </c>
      <c r="J62" s="2">
        <v>2873</v>
      </c>
      <c r="K62" s="2">
        <v>2404</v>
      </c>
      <c r="L62" s="2">
        <v>1894</v>
      </c>
      <c r="M62" s="2">
        <v>1402</v>
      </c>
      <c r="N62" s="2">
        <v>23700</v>
      </c>
    </row>
    <row r="63" spans="1:14" x14ac:dyDescent="0.35">
      <c r="A63" s="2">
        <v>423616</v>
      </c>
      <c r="B63" s="2" t="s">
        <v>65</v>
      </c>
      <c r="C63" s="2">
        <v>1363</v>
      </c>
      <c r="D63" s="2">
        <v>5427</v>
      </c>
      <c r="E63" s="2">
        <v>7934</v>
      </c>
      <c r="F63" s="2">
        <v>8174</v>
      </c>
      <c r="G63" s="2">
        <v>3190</v>
      </c>
      <c r="H63" s="2">
        <v>2725</v>
      </c>
      <c r="I63" s="2">
        <v>2490</v>
      </c>
      <c r="J63" s="2">
        <v>2601</v>
      </c>
      <c r="K63" s="2">
        <v>2434</v>
      </c>
      <c r="L63" s="2">
        <v>11628</v>
      </c>
      <c r="M63" s="2">
        <v>857</v>
      </c>
      <c r="N63" s="2">
        <v>48823</v>
      </c>
    </row>
    <row r="64" spans="1:14" x14ac:dyDescent="0.35">
      <c r="A64" s="2">
        <v>326694</v>
      </c>
      <c r="B64" s="2" t="s">
        <v>24</v>
      </c>
      <c r="C64" s="2">
        <v>1331</v>
      </c>
      <c r="D64" s="2">
        <v>3229</v>
      </c>
      <c r="E64" s="2">
        <v>10324</v>
      </c>
      <c r="F64" s="2">
        <v>2752</v>
      </c>
      <c r="G64" s="2">
        <v>2379</v>
      </c>
      <c r="H64" s="2">
        <v>3417</v>
      </c>
      <c r="I64" s="2">
        <v>2145</v>
      </c>
      <c r="J64" s="2">
        <v>2201</v>
      </c>
      <c r="K64" s="2">
        <v>3037</v>
      </c>
      <c r="L64" s="2">
        <v>2307</v>
      </c>
      <c r="M64" s="2">
        <v>594</v>
      </c>
      <c r="N64" s="2">
        <v>33716</v>
      </c>
    </row>
    <row r="65" spans="1:14" x14ac:dyDescent="0.35">
      <c r="A65" s="2">
        <v>553883</v>
      </c>
      <c r="B65" s="2" t="s">
        <v>127</v>
      </c>
      <c r="C65" s="2">
        <v>1313</v>
      </c>
      <c r="D65" s="2">
        <v>158</v>
      </c>
      <c r="E65" s="2">
        <v>1046</v>
      </c>
      <c r="F65" s="2">
        <v>189</v>
      </c>
      <c r="G65" s="2">
        <v>315</v>
      </c>
      <c r="H65" s="2">
        <v>390</v>
      </c>
      <c r="I65" s="2">
        <v>1793</v>
      </c>
      <c r="J65" s="2">
        <v>2827</v>
      </c>
      <c r="K65" s="2">
        <v>13286</v>
      </c>
      <c r="L65" s="2">
        <v>4147</v>
      </c>
      <c r="M65" s="2">
        <v>2630</v>
      </c>
      <c r="N65" s="2">
        <v>28094</v>
      </c>
    </row>
    <row r="66" spans="1:14" x14ac:dyDescent="0.35">
      <c r="A66" s="2">
        <v>338727</v>
      </c>
      <c r="B66" s="2" t="s">
        <v>215</v>
      </c>
      <c r="C66" s="2">
        <v>1242</v>
      </c>
      <c r="D66" s="2">
        <v>1191</v>
      </c>
      <c r="E66" s="2">
        <v>2673</v>
      </c>
      <c r="F66" s="2">
        <v>4766</v>
      </c>
      <c r="G66" s="2">
        <v>2688</v>
      </c>
      <c r="H66" s="2">
        <v>2252</v>
      </c>
      <c r="I66" s="2">
        <v>2982</v>
      </c>
      <c r="J66" s="2">
        <v>3936</v>
      </c>
      <c r="K66" s="2">
        <v>2854</v>
      </c>
      <c r="L66" s="2">
        <v>1974</v>
      </c>
      <c r="M66" s="2">
        <v>1325</v>
      </c>
      <c r="N66" s="2">
        <v>27883</v>
      </c>
    </row>
    <row r="67" spans="1:14" x14ac:dyDescent="0.35">
      <c r="A67" s="2">
        <v>359001</v>
      </c>
      <c r="B67" s="2" t="s">
        <v>204</v>
      </c>
      <c r="C67" s="2">
        <v>1110</v>
      </c>
      <c r="D67" s="2">
        <v>2125</v>
      </c>
      <c r="E67" s="2">
        <v>4869</v>
      </c>
      <c r="F67" s="2">
        <v>6905</v>
      </c>
      <c r="G67" s="2">
        <v>3132</v>
      </c>
      <c r="H67" s="2">
        <v>1837</v>
      </c>
      <c r="I67" s="2">
        <v>2254</v>
      </c>
      <c r="J67" s="2">
        <v>4086</v>
      </c>
      <c r="K67" s="2">
        <v>5489</v>
      </c>
      <c r="L67" s="2">
        <v>13549</v>
      </c>
      <c r="M67" s="2">
        <v>7382</v>
      </c>
      <c r="N67" s="2">
        <v>52738</v>
      </c>
    </row>
    <row r="68" spans="1:14" x14ac:dyDescent="0.35">
      <c r="A68" s="2">
        <v>233930</v>
      </c>
      <c r="B68" s="2" t="s">
        <v>210</v>
      </c>
      <c r="C68" s="2">
        <v>1081</v>
      </c>
      <c r="D68" s="2">
        <v>1931</v>
      </c>
      <c r="E68" s="2">
        <v>2460</v>
      </c>
      <c r="F68" s="2">
        <v>2344</v>
      </c>
      <c r="G68" s="2">
        <v>1701</v>
      </c>
      <c r="H68" s="2">
        <v>1922</v>
      </c>
      <c r="I68" s="2">
        <v>2190</v>
      </c>
      <c r="J68" s="2">
        <v>5253</v>
      </c>
      <c r="K68" s="2">
        <v>4389</v>
      </c>
      <c r="L68" s="2">
        <v>3093</v>
      </c>
      <c r="M68" s="2">
        <v>7948</v>
      </c>
      <c r="N68" s="2">
        <v>34312</v>
      </c>
    </row>
    <row r="69" spans="1:14" s="17" customFormat="1" x14ac:dyDescent="0.35">
      <c r="A69" s="26">
        <v>356938</v>
      </c>
      <c r="B69" s="26" t="s">
        <v>115</v>
      </c>
      <c r="C69" s="26">
        <v>1044</v>
      </c>
      <c r="D69" s="26">
        <v>7352</v>
      </c>
      <c r="E69" s="26">
        <v>24888</v>
      </c>
      <c r="F69" s="26">
        <v>11834</v>
      </c>
      <c r="G69" s="26">
        <v>4018</v>
      </c>
      <c r="H69" s="26">
        <v>3350</v>
      </c>
      <c r="I69" s="26">
        <v>1868</v>
      </c>
      <c r="J69" s="26">
        <v>1117</v>
      </c>
      <c r="K69" s="26">
        <v>548</v>
      </c>
      <c r="L69" s="26">
        <v>862</v>
      </c>
      <c r="M69" s="26">
        <v>798</v>
      </c>
      <c r="N69" s="26">
        <v>57679</v>
      </c>
    </row>
    <row r="70" spans="1:14" x14ac:dyDescent="0.35">
      <c r="A70" s="2">
        <v>42439</v>
      </c>
      <c r="B70" s="2" t="s">
        <v>208</v>
      </c>
      <c r="C70" s="2">
        <v>1024</v>
      </c>
      <c r="D70" s="2">
        <v>1201</v>
      </c>
      <c r="E70" s="2">
        <v>5900</v>
      </c>
      <c r="F70" s="2">
        <v>2853</v>
      </c>
      <c r="G70" s="2">
        <v>1342</v>
      </c>
      <c r="H70" s="2">
        <v>949</v>
      </c>
      <c r="I70" s="2">
        <v>3711</v>
      </c>
      <c r="J70" s="2">
        <v>5931</v>
      </c>
      <c r="K70" s="2">
        <v>13478</v>
      </c>
      <c r="L70" s="2">
        <v>2370</v>
      </c>
      <c r="M70" s="2">
        <v>1647</v>
      </c>
      <c r="N70" s="2">
        <v>40406</v>
      </c>
    </row>
    <row r="71" spans="1:14" x14ac:dyDescent="0.35">
      <c r="A71" s="2">
        <v>245805</v>
      </c>
      <c r="B71" s="2" t="s">
        <v>29</v>
      </c>
      <c r="C71" s="2">
        <v>963</v>
      </c>
      <c r="D71" s="2">
        <v>2217</v>
      </c>
      <c r="E71" s="2">
        <v>26766</v>
      </c>
      <c r="F71" s="2">
        <v>3801</v>
      </c>
      <c r="G71" s="2">
        <v>4548</v>
      </c>
      <c r="H71" s="2">
        <v>1263</v>
      </c>
      <c r="I71" s="2">
        <v>25922</v>
      </c>
      <c r="J71" s="2">
        <v>15622</v>
      </c>
      <c r="K71" s="2">
        <v>90933</v>
      </c>
      <c r="L71" s="2">
        <v>28889</v>
      </c>
      <c r="M71" s="2">
        <v>10937</v>
      </c>
      <c r="N71" s="2">
        <v>211861</v>
      </c>
    </row>
    <row r="72" spans="1:14" x14ac:dyDescent="0.35">
      <c r="A72" s="2">
        <v>422027</v>
      </c>
      <c r="B72" s="2" t="s">
        <v>99</v>
      </c>
      <c r="C72" s="2">
        <v>959</v>
      </c>
      <c r="D72" s="2">
        <v>253</v>
      </c>
      <c r="E72" s="2">
        <v>421</v>
      </c>
      <c r="F72" s="2">
        <v>585</v>
      </c>
      <c r="G72" s="2">
        <v>371</v>
      </c>
      <c r="H72" s="2">
        <v>346</v>
      </c>
      <c r="I72" s="2">
        <v>204</v>
      </c>
      <c r="J72" s="2">
        <v>443</v>
      </c>
      <c r="K72" s="2">
        <v>2497</v>
      </c>
      <c r="L72" s="2">
        <v>338</v>
      </c>
      <c r="M72" s="2">
        <v>173</v>
      </c>
      <c r="N72" s="2">
        <v>6590</v>
      </c>
    </row>
    <row r="73" spans="1:14" x14ac:dyDescent="0.35">
      <c r="A73" s="2">
        <v>235696</v>
      </c>
      <c r="B73" s="2" t="s">
        <v>234</v>
      </c>
      <c r="C73" s="2">
        <v>900</v>
      </c>
      <c r="D73" s="2">
        <v>1001</v>
      </c>
      <c r="E73" s="2">
        <v>2628</v>
      </c>
      <c r="F73" s="2">
        <v>1341</v>
      </c>
      <c r="G73" s="2">
        <v>454</v>
      </c>
      <c r="H73" s="2">
        <v>458</v>
      </c>
      <c r="I73" s="2">
        <v>900</v>
      </c>
      <c r="J73" s="2">
        <v>745</v>
      </c>
      <c r="K73" s="2">
        <v>315</v>
      </c>
      <c r="L73" s="2">
        <v>711</v>
      </c>
      <c r="M73" s="2">
        <v>209</v>
      </c>
      <c r="N73" s="2">
        <v>9662</v>
      </c>
    </row>
    <row r="74" spans="1:14" x14ac:dyDescent="0.35">
      <c r="A74" s="2">
        <v>681442</v>
      </c>
      <c r="B74" s="2" t="s">
        <v>154</v>
      </c>
      <c r="C74" s="2">
        <v>882</v>
      </c>
      <c r="D74" s="2">
        <v>1352</v>
      </c>
      <c r="E74" s="2">
        <v>3024</v>
      </c>
      <c r="F74" s="2">
        <v>2326</v>
      </c>
      <c r="G74" s="2">
        <v>949</v>
      </c>
      <c r="H74" s="2">
        <v>898</v>
      </c>
      <c r="I74" s="2">
        <v>1076</v>
      </c>
      <c r="J74" s="2">
        <v>2323</v>
      </c>
      <c r="K74" s="2">
        <v>3045</v>
      </c>
      <c r="L74" s="2">
        <v>1972</v>
      </c>
      <c r="M74" s="2">
        <v>802</v>
      </c>
      <c r="N74" s="2">
        <v>18649</v>
      </c>
    </row>
    <row r="75" spans="1:14" x14ac:dyDescent="0.35">
      <c r="A75" s="2">
        <v>467211</v>
      </c>
      <c r="B75" s="2" t="s">
        <v>227</v>
      </c>
      <c r="C75" s="2">
        <v>873</v>
      </c>
      <c r="D75" s="2">
        <v>708</v>
      </c>
      <c r="E75" s="2">
        <v>1611</v>
      </c>
      <c r="F75" s="2">
        <v>1293</v>
      </c>
      <c r="G75" s="2">
        <v>2433</v>
      </c>
      <c r="H75" s="2">
        <v>1535</v>
      </c>
      <c r="I75" s="2">
        <v>1760</v>
      </c>
      <c r="J75" s="2">
        <v>740</v>
      </c>
      <c r="K75" s="2">
        <v>490</v>
      </c>
      <c r="L75" s="2">
        <v>290</v>
      </c>
      <c r="M75" s="2">
        <v>2008</v>
      </c>
      <c r="N75" s="2">
        <v>13741</v>
      </c>
    </row>
    <row r="76" spans="1:14" x14ac:dyDescent="0.35">
      <c r="A76" s="2">
        <v>338692</v>
      </c>
      <c r="B76" s="2" t="s">
        <v>229</v>
      </c>
      <c r="C76" s="2">
        <v>846</v>
      </c>
      <c r="D76" s="2">
        <v>712</v>
      </c>
      <c r="E76" s="2">
        <v>1443</v>
      </c>
      <c r="F76" s="2">
        <v>2112</v>
      </c>
      <c r="G76" s="2">
        <v>1151</v>
      </c>
      <c r="H76" s="2">
        <v>1112</v>
      </c>
      <c r="I76" s="2">
        <v>1350</v>
      </c>
      <c r="J76" s="2">
        <v>1002</v>
      </c>
      <c r="K76" s="2">
        <v>1474</v>
      </c>
      <c r="L76" s="2">
        <v>1013</v>
      </c>
      <c r="M76" s="2">
        <v>721</v>
      </c>
      <c r="N76" s="2">
        <v>12936</v>
      </c>
    </row>
    <row r="77" spans="1:14" x14ac:dyDescent="0.35">
      <c r="A77" s="2">
        <v>234857</v>
      </c>
      <c r="B77" s="2" t="s">
        <v>85</v>
      </c>
      <c r="C77" s="2">
        <v>839</v>
      </c>
      <c r="D77" s="2">
        <v>5433</v>
      </c>
      <c r="E77" s="2">
        <v>25677</v>
      </c>
      <c r="F77" s="2">
        <v>1922</v>
      </c>
      <c r="G77" s="2">
        <v>1133</v>
      </c>
      <c r="H77" s="2">
        <v>10342</v>
      </c>
      <c r="I77" s="2">
        <v>6136</v>
      </c>
      <c r="J77" s="2">
        <v>1866</v>
      </c>
      <c r="K77" s="2">
        <v>1977</v>
      </c>
      <c r="L77" s="2">
        <v>10463</v>
      </c>
      <c r="M77" s="2">
        <v>4171</v>
      </c>
      <c r="N77" s="2">
        <v>69959</v>
      </c>
    </row>
    <row r="78" spans="1:14" x14ac:dyDescent="0.35">
      <c r="A78" s="2">
        <v>228057</v>
      </c>
      <c r="B78" s="2" t="s">
        <v>206</v>
      </c>
      <c r="C78" s="2">
        <v>813</v>
      </c>
      <c r="D78" s="2">
        <v>1934</v>
      </c>
      <c r="E78" s="2">
        <v>1826</v>
      </c>
      <c r="F78" s="2">
        <v>5238</v>
      </c>
      <c r="G78" s="2">
        <v>12466</v>
      </c>
      <c r="H78" s="2">
        <v>4460</v>
      </c>
      <c r="I78" s="2">
        <v>3338</v>
      </c>
      <c r="J78" s="2">
        <v>2800</v>
      </c>
      <c r="K78" s="2">
        <v>7316</v>
      </c>
      <c r="L78" s="2">
        <v>2390</v>
      </c>
      <c r="M78" s="2">
        <v>610</v>
      </c>
      <c r="N78" s="2">
        <v>43191</v>
      </c>
    </row>
    <row r="79" spans="1:14" x14ac:dyDescent="0.35">
      <c r="A79" s="2">
        <v>552264</v>
      </c>
      <c r="B79" s="2" t="s">
        <v>68</v>
      </c>
      <c r="C79" s="2">
        <v>813</v>
      </c>
      <c r="D79" s="2">
        <v>270</v>
      </c>
      <c r="E79" s="2">
        <v>633</v>
      </c>
      <c r="F79" s="2">
        <v>1492</v>
      </c>
      <c r="G79" s="2">
        <v>648</v>
      </c>
      <c r="H79" s="2">
        <v>790</v>
      </c>
      <c r="I79" s="2">
        <v>583</v>
      </c>
      <c r="J79" s="2">
        <v>359</v>
      </c>
      <c r="K79" s="2">
        <v>316</v>
      </c>
      <c r="L79" s="2">
        <v>528</v>
      </c>
      <c r="M79" s="2">
        <v>604</v>
      </c>
      <c r="N79" s="2">
        <v>7036</v>
      </c>
    </row>
    <row r="80" spans="1:14" x14ac:dyDescent="0.35">
      <c r="A80" s="2">
        <v>6832</v>
      </c>
      <c r="B80" s="2" t="s">
        <v>221</v>
      </c>
      <c r="C80" s="2">
        <v>794</v>
      </c>
      <c r="D80" s="2">
        <v>1149</v>
      </c>
      <c r="E80" s="2">
        <v>3071</v>
      </c>
      <c r="F80" s="2">
        <v>2806</v>
      </c>
      <c r="G80" s="2">
        <v>2580</v>
      </c>
      <c r="H80" s="2">
        <v>2745</v>
      </c>
      <c r="I80" s="2">
        <v>1902</v>
      </c>
      <c r="J80" s="2">
        <v>2410</v>
      </c>
      <c r="K80" s="2">
        <v>1958</v>
      </c>
      <c r="L80" s="2">
        <v>942</v>
      </c>
      <c r="M80" s="2">
        <v>693</v>
      </c>
      <c r="N80" s="2">
        <v>21050</v>
      </c>
    </row>
    <row r="81" spans="1:14" x14ac:dyDescent="0.35">
      <c r="A81" s="2">
        <v>338706</v>
      </c>
      <c r="B81" s="2" t="s">
        <v>237</v>
      </c>
      <c r="C81" s="2">
        <v>769</v>
      </c>
      <c r="D81" s="2">
        <v>225</v>
      </c>
      <c r="E81" s="2">
        <v>1252</v>
      </c>
      <c r="F81" s="2">
        <v>978</v>
      </c>
      <c r="G81" s="2">
        <v>553</v>
      </c>
      <c r="H81" s="2">
        <v>696</v>
      </c>
      <c r="I81" s="2">
        <v>432</v>
      </c>
      <c r="J81" s="2">
        <v>850</v>
      </c>
      <c r="K81" s="2">
        <v>759</v>
      </c>
      <c r="L81" s="2">
        <v>808</v>
      </c>
      <c r="M81" s="2">
        <v>254</v>
      </c>
      <c r="N81" s="2">
        <v>7576</v>
      </c>
    </row>
    <row r="82" spans="1:14" x14ac:dyDescent="0.35">
      <c r="A82" s="2">
        <v>338708</v>
      </c>
      <c r="B82" s="2" t="s">
        <v>226</v>
      </c>
      <c r="C82" s="2">
        <v>751</v>
      </c>
      <c r="D82" s="2">
        <v>388</v>
      </c>
      <c r="E82" s="2">
        <v>928</v>
      </c>
      <c r="F82" s="2">
        <v>1108</v>
      </c>
      <c r="G82" s="2">
        <v>1244</v>
      </c>
      <c r="H82" s="2">
        <v>409</v>
      </c>
      <c r="I82" s="2">
        <v>1882</v>
      </c>
      <c r="J82" s="2">
        <v>2637</v>
      </c>
      <c r="K82" s="2">
        <v>2280</v>
      </c>
      <c r="L82" s="2">
        <v>2704</v>
      </c>
      <c r="M82" s="2">
        <v>1680</v>
      </c>
      <c r="N82" s="2">
        <v>16011</v>
      </c>
    </row>
    <row r="83" spans="1:14" x14ac:dyDescent="0.35">
      <c r="A83" s="2">
        <v>333776</v>
      </c>
      <c r="B83" s="2" t="s">
        <v>240</v>
      </c>
      <c r="C83" s="2">
        <v>700</v>
      </c>
      <c r="D83" s="2">
        <v>881</v>
      </c>
      <c r="E83" s="2">
        <v>745</v>
      </c>
      <c r="F83" s="2">
        <v>508</v>
      </c>
      <c r="G83" s="2">
        <v>2610</v>
      </c>
      <c r="H83" s="2">
        <v>340</v>
      </c>
      <c r="I83" s="2">
        <v>201</v>
      </c>
      <c r="J83" s="2">
        <v>345</v>
      </c>
      <c r="K83" s="2">
        <v>272</v>
      </c>
      <c r="L83" s="2">
        <v>648</v>
      </c>
      <c r="M83" s="2">
        <v>134</v>
      </c>
      <c r="N83" s="2">
        <v>7384</v>
      </c>
    </row>
    <row r="84" spans="1:14" x14ac:dyDescent="0.35">
      <c r="A84" s="2">
        <v>903748</v>
      </c>
      <c r="B84" s="2" t="s">
        <v>256</v>
      </c>
      <c r="C84" s="2">
        <v>686</v>
      </c>
      <c r="D84" s="2">
        <v>788</v>
      </c>
      <c r="E84" s="2">
        <v>1029</v>
      </c>
      <c r="F84" s="2">
        <v>476</v>
      </c>
      <c r="G84" s="2">
        <v>274</v>
      </c>
      <c r="H84" s="2">
        <v>153</v>
      </c>
      <c r="I84" s="2">
        <v>203</v>
      </c>
      <c r="J84" s="2">
        <v>356</v>
      </c>
      <c r="K84" s="2">
        <v>145</v>
      </c>
      <c r="L84" s="2">
        <v>26</v>
      </c>
      <c r="M84" s="2">
        <v>12</v>
      </c>
      <c r="N84" s="2">
        <v>4148</v>
      </c>
    </row>
    <row r="85" spans="1:14" x14ac:dyDescent="0.35">
      <c r="A85" s="2">
        <v>338699</v>
      </c>
      <c r="B85" s="2" t="s">
        <v>236</v>
      </c>
      <c r="C85" s="2">
        <v>685</v>
      </c>
      <c r="D85" s="2">
        <v>791</v>
      </c>
      <c r="E85" s="2">
        <v>1915</v>
      </c>
      <c r="F85" s="2">
        <v>1207</v>
      </c>
      <c r="G85" s="2">
        <v>721</v>
      </c>
      <c r="H85" s="2">
        <v>512</v>
      </c>
      <c r="I85" s="2">
        <v>485</v>
      </c>
      <c r="J85" s="2">
        <v>292</v>
      </c>
      <c r="K85" s="2">
        <v>173</v>
      </c>
      <c r="L85" s="2">
        <v>402</v>
      </c>
      <c r="M85" s="2">
        <v>429</v>
      </c>
      <c r="N85" s="2">
        <v>7612</v>
      </c>
    </row>
    <row r="86" spans="1:14" x14ac:dyDescent="0.35">
      <c r="A86" s="2">
        <v>405727</v>
      </c>
      <c r="B86" s="2" t="s">
        <v>243</v>
      </c>
      <c r="C86" s="2">
        <v>676</v>
      </c>
      <c r="D86" s="2">
        <v>349</v>
      </c>
      <c r="E86" s="2">
        <v>447</v>
      </c>
      <c r="F86" s="2">
        <v>527</v>
      </c>
      <c r="G86" s="2">
        <v>382</v>
      </c>
      <c r="H86" s="2">
        <v>742</v>
      </c>
      <c r="I86" s="2">
        <v>1296</v>
      </c>
      <c r="J86" s="2">
        <v>753</v>
      </c>
      <c r="K86" s="2">
        <v>417</v>
      </c>
      <c r="L86" s="2">
        <v>317</v>
      </c>
      <c r="M86" s="2">
        <v>144</v>
      </c>
      <c r="N86" s="2">
        <v>6050</v>
      </c>
    </row>
    <row r="87" spans="1:14" x14ac:dyDescent="0.35">
      <c r="A87" s="2">
        <v>553871</v>
      </c>
      <c r="B87" s="2" t="s">
        <v>22</v>
      </c>
      <c r="C87" s="2">
        <v>674</v>
      </c>
      <c r="D87" s="2">
        <v>821</v>
      </c>
      <c r="E87" s="2">
        <v>840</v>
      </c>
      <c r="F87" s="2">
        <v>1396</v>
      </c>
      <c r="G87" s="2">
        <v>307</v>
      </c>
      <c r="H87" s="2">
        <v>1774</v>
      </c>
      <c r="I87" s="2">
        <v>7734</v>
      </c>
      <c r="J87" s="2">
        <v>59601</v>
      </c>
      <c r="K87" s="2">
        <v>18312</v>
      </c>
      <c r="L87" s="2">
        <v>18628</v>
      </c>
      <c r="M87" s="2">
        <v>10596</v>
      </c>
      <c r="N87" s="2">
        <v>120683</v>
      </c>
    </row>
    <row r="88" spans="1:14" x14ac:dyDescent="0.35">
      <c r="A88" s="2">
        <v>232415</v>
      </c>
      <c r="B88" s="2" t="s">
        <v>231</v>
      </c>
      <c r="C88" s="2">
        <v>659</v>
      </c>
      <c r="D88" s="2">
        <v>686</v>
      </c>
      <c r="E88" s="2">
        <v>836</v>
      </c>
      <c r="F88" s="2">
        <v>1533</v>
      </c>
      <c r="G88" s="2">
        <v>922</v>
      </c>
      <c r="H88" s="2">
        <v>1440</v>
      </c>
      <c r="I88" s="2">
        <v>1145</v>
      </c>
      <c r="J88" s="2">
        <v>1369</v>
      </c>
      <c r="K88" s="2">
        <v>1544</v>
      </c>
      <c r="L88" s="2">
        <v>1169</v>
      </c>
      <c r="M88" s="2">
        <v>739</v>
      </c>
      <c r="N88" s="2">
        <v>12042</v>
      </c>
    </row>
    <row r="89" spans="1:14" x14ac:dyDescent="0.35">
      <c r="A89" s="2">
        <v>170251</v>
      </c>
      <c r="B89" s="2" t="s">
        <v>232</v>
      </c>
      <c r="C89" s="2">
        <v>646</v>
      </c>
      <c r="D89" s="2">
        <v>1849</v>
      </c>
      <c r="E89" s="2">
        <v>3561</v>
      </c>
      <c r="F89" s="2">
        <v>2107</v>
      </c>
      <c r="G89" s="2">
        <v>964</v>
      </c>
      <c r="H89" s="2">
        <v>1006</v>
      </c>
      <c r="I89" s="2">
        <v>668</v>
      </c>
      <c r="J89" s="2">
        <v>231</v>
      </c>
      <c r="K89" s="2">
        <v>115</v>
      </c>
      <c r="L89" s="2">
        <v>299</v>
      </c>
      <c r="M89" s="2">
        <v>166</v>
      </c>
      <c r="N89" s="2">
        <v>11612</v>
      </c>
    </row>
    <row r="90" spans="1:14" x14ac:dyDescent="0.35">
      <c r="A90" s="2">
        <v>326696</v>
      </c>
      <c r="B90" s="2" t="s">
        <v>16</v>
      </c>
      <c r="C90" s="2">
        <v>639</v>
      </c>
      <c r="D90" s="2">
        <v>929</v>
      </c>
      <c r="E90" s="2">
        <v>918</v>
      </c>
      <c r="F90" s="2">
        <v>498</v>
      </c>
      <c r="G90" s="2">
        <v>253</v>
      </c>
      <c r="H90" s="2">
        <v>391</v>
      </c>
      <c r="I90" s="2">
        <v>401</v>
      </c>
      <c r="J90" s="2">
        <v>405</v>
      </c>
      <c r="K90" s="2">
        <v>416</v>
      </c>
      <c r="L90" s="2">
        <v>167</v>
      </c>
      <c r="M90" s="2">
        <v>135</v>
      </c>
      <c r="N90" s="2">
        <v>5152</v>
      </c>
    </row>
    <row r="91" spans="1:14" x14ac:dyDescent="0.35">
      <c r="A91" s="2">
        <v>410641</v>
      </c>
      <c r="B91" s="2" t="s">
        <v>161</v>
      </c>
      <c r="C91" s="2">
        <v>621</v>
      </c>
      <c r="D91" s="2">
        <v>1051</v>
      </c>
      <c r="E91" s="2">
        <v>1270</v>
      </c>
      <c r="F91" s="2">
        <v>623</v>
      </c>
      <c r="G91" s="2">
        <v>630</v>
      </c>
      <c r="H91" s="2">
        <v>966</v>
      </c>
      <c r="I91" s="2">
        <v>667</v>
      </c>
      <c r="J91" s="2">
        <v>1261</v>
      </c>
      <c r="K91" s="2">
        <v>1881</v>
      </c>
      <c r="L91" s="2">
        <v>1689</v>
      </c>
      <c r="M91" s="2">
        <v>690</v>
      </c>
      <c r="N91" s="2">
        <v>11349</v>
      </c>
    </row>
    <row r="92" spans="1:14" x14ac:dyDescent="0.35">
      <c r="A92" s="2">
        <v>330012</v>
      </c>
      <c r="B92" s="2" t="s">
        <v>66</v>
      </c>
      <c r="C92" s="2">
        <v>612</v>
      </c>
      <c r="D92" s="2">
        <v>791</v>
      </c>
      <c r="E92" s="2">
        <v>680</v>
      </c>
      <c r="F92" s="2">
        <v>426</v>
      </c>
      <c r="G92" s="2">
        <v>241</v>
      </c>
      <c r="H92" s="2">
        <v>792</v>
      </c>
      <c r="I92" s="2">
        <v>498</v>
      </c>
      <c r="J92" s="2">
        <v>806</v>
      </c>
      <c r="K92" s="2">
        <v>593</v>
      </c>
      <c r="L92" s="2">
        <v>550</v>
      </c>
      <c r="M92" s="2">
        <v>759</v>
      </c>
      <c r="N92" s="2">
        <v>6748</v>
      </c>
    </row>
    <row r="93" spans="1:14" x14ac:dyDescent="0.35">
      <c r="A93" s="2">
        <v>443926</v>
      </c>
      <c r="B93" s="2" t="s">
        <v>233</v>
      </c>
      <c r="C93" s="2">
        <v>582</v>
      </c>
      <c r="D93" s="2">
        <v>1817</v>
      </c>
      <c r="E93" s="2">
        <v>3842</v>
      </c>
      <c r="F93" s="2">
        <v>307</v>
      </c>
      <c r="G93" s="2">
        <v>316</v>
      </c>
      <c r="H93" s="2">
        <v>235</v>
      </c>
      <c r="I93" s="2">
        <v>2211</v>
      </c>
      <c r="J93" s="2">
        <v>199</v>
      </c>
      <c r="K93" s="2">
        <v>413</v>
      </c>
      <c r="L93" s="2">
        <v>540</v>
      </c>
      <c r="M93" s="2">
        <v>378</v>
      </c>
      <c r="N93" s="2">
        <v>10840</v>
      </c>
    </row>
    <row r="94" spans="1:14" s="17" customFormat="1" x14ac:dyDescent="0.35">
      <c r="A94" s="26">
        <v>380173</v>
      </c>
      <c r="B94" s="26" t="s">
        <v>81</v>
      </c>
      <c r="C94" s="26">
        <v>570</v>
      </c>
      <c r="D94" s="26">
        <v>2160</v>
      </c>
      <c r="E94" s="26">
        <v>13937</v>
      </c>
      <c r="F94" s="26">
        <v>12299</v>
      </c>
      <c r="G94" s="26">
        <v>2837</v>
      </c>
      <c r="H94" s="26">
        <v>3413</v>
      </c>
      <c r="I94" s="26">
        <v>2132</v>
      </c>
      <c r="J94" s="26">
        <v>2711</v>
      </c>
      <c r="K94" s="26">
        <v>1955</v>
      </c>
      <c r="L94" s="26">
        <v>2596</v>
      </c>
      <c r="M94" s="26">
        <v>1753</v>
      </c>
      <c r="N94" s="26">
        <v>46363</v>
      </c>
    </row>
    <row r="95" spans="1:14" x14ac:dyDescent="0.35">
      <c r="A95" s="2">
        <v>213204</v>
      </c>
      <c r="B95" s="2" t="s">
        <v>211</v>
      </c>
      <c r="C95" s="2">
        <v>563</v>
      </c>
      <c r="D95" s="2">
        <v>769</v>
      </c>
      <c r="E95" s="2">
        <v>2105</v>
      </c>
      <c r="F95" s="2">
        <v>2248</v>
      </c>
      <c r="G95" s="2">
        <v>1135</v>
      </c>
      <c r="H95" s="2">
        <v>767</v>
      </c>
      <c r="I95" s="2">
        <v>2846</v>
      </c>
      <c r="J95" s="2">
        <v>4049</v>
      </c>
      <c r="K95" s="2">
        <v>10044</v>
      </c>
      <c r="L95" s="2">
        <v>5776</v>
      </c>
      <c r="M95" s="2">
        <v>3665</v>
      </c>
      <c r="N95" s="2">
        <v>33967</v>
      </c>
    </row>
    <row r="96" spans="1:14" x14ac:dyDescent="0.35">
      <c r="A96" s="2">
        <v>179013</v>
      </c>
      <c r="B96" s="2" t="s">
        <v>82</v>
      </c>
      <c r="C96" s="2">
        <v>559</v>
      </c>
      <c r="D96" s="2">
        <v>416</v>
      </c>
      <c r="E96" s="2">
        <v>663</v>
      </c>
      <c r="F96" s="2">
        <v>806</v>
      </c>
      <c r="G96" s="2">
        <v>503</v>
      </c>
      <c r="H96" s="2">
        <v>2522</v>
      </c>
      <c r="I96" s="2">
        <v>323</v>
      </c>
      <c r="J96" s="2">
        <v>1102</v>
      </c>
      <c r="K96" s="2">
        <v>858</v>
      </c>
      <c r="L96" s="2">
        <v>661</v>
      </c>
      <c r="M96" s="2">
        <v>1078</v>
      </c>
      <c r="N96" s="2">
        <v>9491</v>
      </c>
    </row>
    <row r="97" spans="1:14" x14ac:dyDescent="0.35">
      <c r="A97" s="2">
        <v>213201</v>
      </c>
      <c r="B97" s="2" t="s">
        <v>135</v>
      </c>
      <c r="C97" s="2">
        <v>551</v>
      </c>
      <c r="D97" s="2">
        <v>1967</v>
      </c>
      <c r="E97" s="2">
        <v>1801</v>
      </c>
      <c r="F97" s="2">
        <v>2123</v>
      </c>
      <c r="G97" s="2">
        <v>876</v>
      </c>
      <c r="H97" s="2">
        <v>549</v>
      </c>
      <c r="I97" s="2">
        <v>1262</v>
      </c>
      <c r="J97" s="2">
        <v>2802</v>
      </c>
      <c r="K97" s="2">
        <v>616</v>
      </c>
      <c r="L97" s="2">
        <v>910</v>
      </c>
      <c r="M97" s="2">
        <v>415</v>
      </c>
      <c r="N97" s="2">
        <v>13872</v>
      </c>
    </row>
    <row r="98" spans="1:14" x14ac:dyDescent="0.35">
      <c r="A98" s="2">
        <v>340117</v>
      </c>
      <c r="B98" s="2" t="s">
        <v>157</v>
      </c>
      <c r="C98" s="2">
        <v>547</v>
      </c>
      <c r="D98" s="2">
        <v>707</v>
      </c>
      <c r="E98" s="2">
        <v>1594</v>
      </c>
      <c r="F98" s="2">
        <v>932</v>
      </c>
      <c r="G98" s="2">
        <v>225</v>
      </c>
      <c r="H98" s="2">
        <v>600</v>
      </c>
      <c r="I98" s="2">
        <v>750</v>
      </c>
      <c r="J98" s="2">
        <v>852</v>
      </c>
      <c r="K98" s="2">
        <v>1136</v>
      </c>
      <c r="L98" s="2">
        <v>797</v>
      </c>
      <c r="M98" s="2">
        <v>252</v>
      </c>
      <c r="N98" s="2">
        <v>8392</v>
      </c>
    </row>
    <row r="99" spans="1:14" x14ac:dyDescent="0.35">
      <c r="A99" s="2">
        <v>586404</v>
      </c>
      <c r="B99" s="2" t="s">
        <v>19</v>
      </c>
      <c r="C99" s="2">
        <v>542</v>
      </c>
      <c r="D99" s="2">
        <v>721</v>
      </c>
      <c r="E99" s="2">
        <v>1987</v>
      </c>
      <c r="F99" s="2">
        <v>917</v>
      </c>
      <c r="G99" s="2">
        <v>903</v>
      </c>
      <c r="H99" s="2">
        <v>701</v>
      </c>
      <c r="I99" s="2">
        <v>707</v>
      </c>
      <c r="J99" s="2">
        <v>2122</v>
      </c>
      <c r="K99" s="2">
        <v>3643</v>
      </c>
      <c r="L99" s="2">
        <v>1301</v>
      </c>
      <c r="M99" s="2">
        <v>684</v>
      </c>
      <c r="N99" s="2">
        <v>14228</v>
      </c>
    </row>
    <row r="100" spans="1:14" x14ac:dyDescent="0.35">
      <c r="A100" s="2">
        <v>553948</v>
      </c>
      <c r="B100" s="2" t="s">
        <v>92</v>
      </c>
      <c r="C100" s="2">
        <v>536</v>
      </c>
      <c r="D100" s="2">
        <v>161</v>
      </c>
      <c r="E100" s="2">
        <v>183</v>
      </c>
      <c r="F100" s="2">
        <v>90</v>
      </c>
      <c r="G100" s="2">
        <v>801</v>
      </c>
      <c r="H100" s="2">
        <v>621</v>
      </c>
      <c r="I100" s="2">
        <v>4176</v>
      </c>
      <c r="J100" s="2">
        <v>10688</v>
      </c>
      <c r="K100" s="2">
        <v>3198</v>
      </c>
      <c r="L100" s="2">
        <v>1732</v>
      </c>
      <c r="M100" s="2">
        <v>340</v>
      </c>
      <c r="N100" s="2">
        <v>22526</v>
      </c>
    </row>
    <row r="101" spans="1:14" x14ac:dyDescent="0.35">
      <c r="A101" s="2">
        <v>1214237</v>
      </c>
      <c r="B101" s="2" t="s">
        <v>247</v>
      </c>
      <c r="C101" s="2">
        <v>535</v>
      </c>
      <c r="D101" s="2">
        <v>552</v>
      </c>
      <c r="E101" s="2">
        <v>594</v>
      </c>
      <c r="F101" s="2">
        <v>867</v>
      </c>
      <c r="G101" s="2">
        <v>524</v>
      </c>
      <c r="H101" s="2">
        <v>565</v>
      </c>
      <c r="I101" s="2">
        <v>385</v>
      </c>
      <c r="J101" s="2">
        <v>307</v>
      </c>
      <c r="K101" s="2">
        <v>523</v>
      </c>
      <c r="L101" s="2">
        <v>149</v>
      </c>
      <c r="M101" s="2">
        <v>431</v>
      </c>
      <c r="N101" s="2">
        <v>5432</v>
      </c>
    </row>
    <row r="102" spans="1:14" x14ac:dyDescent="0.35">
      <c r="A102" s="2">
        <v>320516</v>
      </c>
      <c r="B102" s="2" t="s">
        <v>228</v>
      </c>
      <c r="C102" s="2">
        <v>505</v>
      </c>
      <c r="D102" s="2">
        <v>439</v>
      </c>
      <c r="E102" s="2">
        <v>1251</v>
      </c>
      <c r="F102" s="2">
        <v>973</v>
      </c>
      <c r="G102" s="2">
        <v>1751</v>
      </c>
      <c r="H102" s="2">
        <v>1807</v>
      </c>
      <c r="I102" s="2">
        <v>1100</v>
      </c>
      <c r="J102" s="2">
        <v>2072</v>
      </c>
      <c r="K102" s="2">
        <v>1853</v>
      </c>
      <c r="L102" s="2">
        <v>725</v>
      </c>
      <c r="M102" s="2">
        <v>700</v>
      </c>
      <c r="N102" s="2">
        <v>13176</v>
      </c>
    </row>
    <row r="103" spans="1:14" x14ac:dyDescent="0.35">
      <c r="A103" s="2">
        <v>338720</v>
      </c>
      <c r="B103" s="2" t="s">
        <v>248</v>
      </c>
      <c r="C103" s="2">
        <v>505</v>
      </c>
      <c r="D103" s="2">
        <v>321</v>
      </c>
      <c r="E103" s="2">
        <v>382</v>
      </c>
      <c r="F103" s="2">
        <v>748</v>
      </c>
      <c r="G103" s="2">
        <v>384</v>
      </c>
      <c r="H103" s="2">
        <v>445</v>
      </c>
      <c r="I103" s="2">
        <v>550</v>
      </c>
      <c r="J103" s="2">
        <v>702</v>
      </c>
      <c r="K103" s="2">
        <v>434</v>
      </c>
      <c r="L103" s="2">
        <v>520</v>
      </c>
      <c r="M103" s="2">
        <v>413</v>
      </c>
      <c r="N103" s="2">
        <v>5404</v>
      </c>
    </row>
    <row r="104" spans="1:14" x14ac:dyDescent="0.35">
      <c r="A104" s="2">
        <v>325772</v>
      </c>
      <c r="B104" s="2" t="s">
        <v>225</v>
      </c>
      <c r="C104" s="2">
        <v>496</v>
      </c>
      <c r="D104" s="2">
        <v>1443</v>
      </c>
      <c r="E104" s="2">
        <v>7549</v>
      </c>
      <c r="F104" s="2">
        <v>4726</v>
      </c>
      <c r="G104" s="2">
        <v>568</v>
      </c>
      <c r="H104" s="2">
        <v>535</v>
      </c>
      <c r="I104" s="2">
        <v>957</v>
      </c>
      <c r="J104" s="2">
        <v>660</v>
      </c>
      <c r="K104" s="2">
        <v>407</v>
      </c>
      <c r="L104" s="2">
        <v>497</v>
      </c>
      <c r="M104" s="2">
        <v>345</v>
      </c>
      <c r="N104" s="2">
        <v>18183</v>
      </c>
    </row>
    <row r="105" spans="1:14" x14ac:dyDescent="0.35">
      <c r="A105" s="2">
        <v>358949</v>
      </c>
      <c r="B105" s="2" t="s">
        <v>213</v>
      </c>
      <c r="C105" s="2">
        <v>438</v>
      </c>
      <c r="D105" s="2">
        <v>710</v>
      </c>
      <c r="E105" s="2">
        <v>5973</v>
      </c>
      <c r="F105" s="2">
        <v>4625</v>
      </c>
      <c r="G105" s="2">
        <v>1429</v>
      </c>
      <c r="H105" s="2">
        <v>3416</v>
      </c>
      <c r="I105" s="2">
        <v>4172</v>
      </c>
      <c r="J105" s="2">
        <v>3606</v>
      </c>
      <c r="K105" s="2">
        <v>2209</v>
      </c>
      <c r="L105" s="2">
        <v>2089</v>
      </c>
      <c r="M105" s="2">
        <v>2643</v>
      </c>
      <c r="N105" s="2">
        <v>31310</v>
      </c>
    </row>
    <row r="106" spans="1:14" x14ac:dyDescent="0.35">
      <c r="A106" s="2">
        <v>421299</v>
      </c>
      <c r="B106" s="2" t="s">
        <v>150</v>
      </c>
      <c r="C106" s="2">
        <v>418</v>
      </c>
      <c r="D106" s="2">
        <v>200</v>
      </c>
      <c r="E106" s="2">
        <v>650</v>
      </c>
      <c r="F106" s="2">
        <v>954</v>
      </c>
      <c r="G106" s="2">
        <v>561</v>
      </c>
      <c r="H106" s="2">
        <v>285</v>
      </c>
      <c r="I106" s="2">
        <v>20693</v>
      </c>
      <c r="J106" s="2">
        <v>77319</v>
      </c>
      <c r="K106" s="2">
        <v>28057</v>
      </c>
      <c r="L106" s="2">
        <v>26672</v>
      </c>
      <c r="M106" s="2">
        <v>10091</v>
      </c>
      <c r="N106" s="2">
        <v>165900</v>
      </c>
    </row>
    <row r="107" spans="1:14" x14ac:dyDescent="0.35">
      <c r="A107" s="2">
        <v>403933</v>
      </c>
      <c r="B107" s="2" t="s">
        <v>160</v>
      </c>
      <c r="C107" s="2">
        <v>413</v>
      </c>
      <c r="D107" s="2">
        <v>587</v>
      </c>
      <c r="E107" s="2">
        <v>1329</v>
      </c>
      <c r="F107" s="2">
        <v>1346</v>
      </c>
      <c r="G107" s="2">
        <v>314</v>
      </c>
      <c r="H107" s="2">
        <v>614</v>
      </c>
      <c r="I107" s="2">
        <v>288</v>
      </c>
      <c r="J107" s="2">
        <v>946</v>
      </c>
      <c r="K107" s="2">
        <v>546</v>
      </c>
      <c r="L107" s="2">
        <v>12672</v>
      </c>
      <c r="M107" s="2">
        <v>780</v>
      </c>
      <c r="N107" s="2">
        <v>19835</v>
      </c>
    </row>
    <row r="108" spans="1:14" x14ac:dyDescent="0.35">
      <c r="A108" s="2">
        <v>338737</v>
      </c>
      <c r="B108" s="2" t="s">
        <v>245</v>
      </c>
      <c r="C108" s="2">
        <v>411</v>
      </c>
      <c r="D108" s="2">
        <v>232</v>
      </c>
      <c r="E108" s="2">
        <v>619</v>
      </c>
      <c r="F108" s="2">
        <v>628</v>
      </c>
      <c r="G108" s="2">
        <v>501</v>
      </c>
      <c r="H108" s="2">
        <v>409</v>
      </c>
      <c r="I108" s="2">
        <v>417</v>
      </c>
      <c r="J108" s="2">
        <v>1071</v>
      </c>
      <c r="K108" s="2">
        <v>519</v>
      </c>
      <c r="L108" s="2">
        <v>383</v>
      </c>
      <c r="M108" s="2">
        <v>294</v>
      </c>
      <c r="N108" s="2">
        <v>5484</v>
      </c>
    </row>
    <row r="109" spans="1:14" x14ac:dyDescent="0.35">
      <c r="A109" s="2">
        <v>338741</v>
      </c>
      <c r="B109" s="2" t="s">
        <v>251</v>
      </c>
      <c r="C109" s="2">
        <v>410</v>
      </c>
      <c r="D109" s="2">
        <v>415</v>
      </c>
      <c r="E109" s="2">
        <v>644</v>
      </c>
      <c r="F109" s="2">
        <v>546</v>
      </c>
      <c r="G109" s="2">
        <v>382</v>
      </c>
      <c r="H109" s="2">
        <v>360</v>
      </c>
      <c r="I109" s="2">
        <v>446</v>
      </c>
      <c r="J109" s="2">
        <v>680</v>
      </c>
      <c r="K109" s="2">
        <v>383</v>
      </c>
      <c r="L109" s="2">
        <v>555</v>
      </c>
      <c r="M109" s="2">
        <v>236</v>
      </c>
      <c r="N109" s="2">
        <v>5057</v>
      </c>
    </row>
    <row r="110" spans="1:14" x14ac:dyDescent="0.35">
      <c r="A110" s="2">
        <v>338743</v>
      </c>
      <c r="B110" s="2" t="s">
        <v>241</v>
      </c>
      <c r="C110" s="2">
        <v>399</v>
      </c>
      <c r="D110" s="2">
        <v>272</v>
      </c>
      <c r="E110" s="2">
        <v>579</v>
      </c>
      <c r="F110" s="2">
        <v>886</v>
      </c>
      <c r="G110" s="2">
        <v>1848</v>
      </c>
      <c r="H110" s="2">
        <v>626</v>
      </c>
      <c r="I110" s="2">
        <v>630</v>
      </c>
      <c r="J110" s="2">
        <v>529</v>
      </c>
      <c r="K110" s="2">
        <v>551</v>
      </c>
      <c r="L110" s="2">
        <v>391</v>
      </c>
      <c r="M110" s="2">
        <v>254</v>
      </c>
      <c r="N110" s="2">
        <v>6965</v>
      </c>
    </row>
    <row r="111" spans="1:14" x14ac:dyDescent="0.35">
      <c r="A111" s="2">
        <v>252441</v>
      </c>
      <c r="B111" s="2" t="s">
        <v>202</v>
      </c>
      <c r="C111" s="2">
        <v>389</v>
      </c>
      <c r="D111" s="2">
        <v>700</v>
      </c>
      <c r="E111" s="2">
        <v>1895</v>
      </c>
      <c r="F111" s="2">
        <v>807</v>
      </c>
      <c r="G111" s="2">
        <v>447</v>
      </c>
      <c r="H111" s="2">
        <v>230</v>
      </c>
      <c r="I111" s="2">
        <v>4044</v>
      </c>
      <c r="J111" s="2">
        <v>29016</v>
      </c>
      <c r="K111" s="2">
        <v>7063</v>
      </c>
      <c r="L111" s="2">
        <v>8764</v>
      </c>
      <c r="M111" s="2">
        <v>3031</v>
      </c>
      <c r="N111" s="2">
        <v>56386</v>
      </c>
    </row>
    <row r="112" spans="1:14" x14ac:dyDescent="0.35">
      <c r="A112" s="2">
        <v>197955</v>
      </c>
      <c r="B112" s="2" t="s">
        <v>212</v>
      </c>
      <c r="C112" s="2">
        <v>382</v>
      </c>
      <c r="D112" s="2">
        <v>1474</v>
      </c>
      <c r="E112" s="2">
        <v>2618</v>
      </c>
      <c r="F112" s="2">
        <v>2128</v>
      </c>
      <c r="G112" s="2">
        <v>1675</v>
      </c>
      <c r="H112" s="2">
        <v>1914</v>
      </c>
      <c r="I112" s="2">
        <v>6067</v>
      </c>
      <c r="J112" s="2">
        <v>4182</v>
      </c>
      <c r="K112" s="2">
        <v>8855</v>
      </c>
      <c r="L112" s="2">
        <v>3021</v>
      </c>
      <c r="M112" s="2">
        <v>1287</v>
      </c>
      <c r="N112" s="2">
        <v>33603</v>
      </c>
    </row>
    <row r="113" spans="1:14" x14ac:dyDescent="0.35">
      <c r="A113" s="2">
        <v>469381</v>
      </c>
      <c r="B113" s="2" t="s">
        <v>249</v>
      </c>
      <c r="C113" s="2">
        <v>341</v>
      </c>
      <c r="D113" s="2">
        <v>148</v>
      </c>
      <c r="E113" s="2">
        <v>423</v>
      </c>
      <c r="F113" s="2">
        <v>410</v>
      </c>
      <c r="G113" s="2">
        <v>511</v>
      </c>
      <c r="H113" s="2">
        <v>605</v>
      </c>
      <c r="I113" s="2">
        <v>405</v>
      </c>
      <c r="J113" s="2">
        <v>574</v>
      </c>
      <c r="K113" s="2">
        <v>504</v>
      </c>
      <c r="L113" s="2">
        <v>540</v>
      </c>
      <c r="M113" s="2">
        <v>789</v>
      </c>
      <c r="N113" s="2">
        <v>5250</v>
      </c>
    </row>
    <row r="114" spans="1:14" x14ac:dyDescent="0.35">
      <c r="A114" s="2">
        <v>235110</v>
      </c>
      <c r="B114" s="2" t="s">
        <v>47</v>
      </c>
      <c r="C114" s="2">
        <v>335</v>
      </c>
      <c r="D114" s="2">
        <v>547</v>
      </c>
      <c r="E114" s="2">
        <v>261</v>
      </c>
      <c r="F114" s="2">
        <v>491</v>
      </c>
      <c r="G114" s="2">
        <v>334</v>
      </c>
      <c r="H114" s="2">
        <v>1118</v>
      </c>
      <c r="I114" s="2">
        <v>528</v>
      </c>
      <c r="J114" s="2">
        <v>647</v>
      </c>
      <c r="K114" s="2">
        <v>556</v>
      </c>
      <c r="L114" s="2">
        <v>1642</v>
      </c>
      <c r="M114" s="2">
        <v>302</v>
      </c>
      <c r="N114" s="2">
        <v>6761</v>
      </c>
    </row>
    <row r="115" spans="1:14" x14ac:dyDescent="0.35">
      <c r="A115" s="2">
        <v>235597</v>
      </c>
      <c r="B115" s="2" t="s">
        <v>235</v>
      </c>
      <c r="C115" s="2">
        <v>326</v>
      </c>
      <c r="D115" s="2">
        <v>222</v>
      </c>
      <c r="E115" s="2">
        <v>884</v>
      </c>
      <c r="F115" s="2">
        <v>377</v>
      </c>
      <c r="G115" s="2">
        <v>278</v>
      </c>
      <c r="H115" s="2">
        <v>225</v>
      </c>
      <c r="I115" s="2">
        <v>188</v>
      </c>
      <c r="J115" s="2">
        <v>715</v>
      </c>
      <c r="K115" s="2">
        <v>1933</v>
      </c>
      <c r="L115" s="2">
        <v>750</v>
      </c>
      <c r="M115" s="2">
        <v>2286</v>
      </c>
      <c r="N115" s="2">
        <v>8184</v>
      </c>
    </row>
    <row r="116" spans="1:14" x14ac:dyDescent="0.35">
      <c r="A116" s="2">
        <v>195590</v>
      </c>
      <c r="B116" s="2" t="s">
        <v>252</v>
      </c>
      <c r="C116" s="2">
        <v>309</v>
      </c>
      <c r="D116" s="2">
        <v>225</v>
      </c>
      <c r="E116" s="2">
        <v>336</v>
      </c>
      <c r="F116" s="2">
        <v>358</v>
      </c>
      <c r="G116" s="2">
        <v>260</v>
      </c>
      <c r="H116" s="2">
        <v>709</v>
      </c>
      <c r="I116" s="2">
        <v>549</v>
      </c>
      <c r="J116" s="2">
        <v>361</v>
      </c>
      <c r="K116" s="2">
        <v>808</v>
      </c>
      <c r="L116" s="2">
        <v>519</v>
      </c>
      <c r="M116" s="2">
        <v>513</v>
      </c>
      <c r="N116" s="2">
        <v>4947</v>
      </c>
    </row>
    <row r="117" spans="1:14" x14ac:dyDescent="0.35">
      <c r="A117" s="2">
        <v>338717</v>
      </c>
      <c r="B117" s="2" t="s">
        <v>259</v>
      </c>
      <c r="C117" s="2">
        <v>304</v>
      </c>
      <c r="D117" s="2">
        <v>199</v>
      </c>
      <c r="E117" s="2">
        <v>389</v>
      </c>
      <c r="F117" s="2">
        <v>734</v>
      </c>
      <c r="G117" s="2">
        <v>412</v>
      </c>
      <c r="H117" s="2">
        <v>219</v>
      </c>
      <c r="I117" s="2">
        <v>257</v>
      </c>
      <c r="J117" s="2">
        <v>384</v>
      </c>
      <c r="K117" s="2">
        <v>232</v>
      </c>
      <c r="L117" s="2">
        <v>385</v>
      </c>
      <c r="M117" s="2">
        <v>247</v>
      </c>
      <c r="N117" s="2">
        <v>3762</v>
      </c>
    </row>
    <row r="118" spans="1:14" x14ac:dyDescent="0.35">
      <c r="A118" s="2">
        <v>532043</v>
      </c>
      <c r="B118" s="2" t="s">
        <v>258</v>
      </c>
      <c r="C118" s="2">
        <v>286</v>
      </c>
      <c r="D118" s="2">
        <v>223</v>
      </c>
      <c r="E118" s="2">
        <v>377</v>
      </c>
      <c r="F118" s="2">
        <v>1197</v>
      </c>
      <c r="G118" s="2">
        <v>261</v>
      </c>
      <c r="H118" s="2">
        <v>228</v>
      </c>
      <c r="I118" s="2">
        <v>229</v>
      </c>
      <c r="J118" s="2">
        <v>288</v>
      </c>
      <c r="K118" s="2">
        <v>272</v>
      </c>
      <c r="L118" s="2">
        <v>278</v>
      </c>
      <c r="M118" s="2">
        <v>207</v>
      </c>
      <c r="N118" s="2">
        <v>3846</v>
      </c>
    </row>
    <row r="119" spans="1:14" x14ac:dyDescent="0.35">
      <c r="A119" s="2">
        <v>338729</v>
      </c>
      <c r="B119" s="2" t="s">
        <v>18</v>
      </c>
      <c r="C119" s="2">
        <v>285</v>
      </c>
      <c r="D119" s="2">
        <v>489</v>
      </c>
      <c r="E119" s="2">
        <v>1178</v>
      </c>
      <c r="F119" s="2">
        <v>761</v>
      </c>
      <c r="G119" s="2">
        <v>69</v>
      </c>
      <c r="H119" s="2">
        <v>56</v>
      </c>
      <c r="I119" s="2">
        <v>32</v>
      </c>
      <c r="J119" s="2">
        <v>15</v>
      </c>
      <c r="K119" s="2">
        <v>328</v>
      </c>
      <c r="L119" s="2">
        <v>286</v>
      </c>
      <c r="M119" s="2">
        <v>21</v>
      </c>
      <c r="N119" s="2">
        <v>3520</v>
      </c>
    </row>
    <row r="120" spans="1:14" x14ac:dyDescent="0.35">
      <c r="A120" s="2">
        <v>587210</v>
      </c>
      <c r="B120" s="2" t="s">
        <v>257</v>
      </c>
      <c r="C120" s="2">
        <v>280</v>
      </c>
      <c r="D120" s="2">
        <v>712</v>
      </c>
      <c r="E120" s="2">
        <v>1228</v>
      </c>
      <c r="F120" s="2">
        <v>1104</v>
      </c>
      <c r="G120" s="2">
        <v>90</v>
      </c>
      <c r="H120" s="2">
        <v>41</v>
      </c>
      <c r="I120" s="2">
        <v>38</v>
      </c>
      <c r="J120" s="2">
        <v>404</v>
      </c>
      <c r="K120" s="2">
        <v>131</v>
      </c>
      <c r="L120" s="2">
        <v>62</v>
      </c>
      <c r="M120" s="2">
        <v>41</v>
      </c>
      <c r="N120" s="2">
        <v>4131</v>
      </c>
    </row>
    <row r="121" spans="1:14" x14ac:dyDescent="0.35">
      <c r="A121" s="2">
        <v>338710</v>
      </c>
      <c r="B121" s="2" t="s">
        <v>238</v>
      </c>
      <c r="C121" s="2">
        <v>248</v>
      </c>
      <c r="D121" s="2">
        <v>306</v>
      </c>
      <c r="E121" s="2">
        <v>694</v>
      </c>
      <c r="F121" s="2">
        <v>1230</v>
      </c>
      <c r="G121" s="2">
        <v>600</v>
      </c>
      <c r="H121" s="2">
        <v>498</v>
      </c>
      <c r="I121" s="2">
        <v>808</v>
      </c>
      <c r="J121" s="2">
        <v>1039</v>
      </c>
      <c r="K121" s="2">
        <v>1015</v>
      </c>
      <c r="L121" s="2">
        <v>740</v>
      </c>
      <c r="M121" s="2">
        <v>369</v>
      </c>
      <c r="N121" s="2">
        <v>7547</v>
      </c>
    </row>
    <row r="122" spans="1:14" x14ac:dyDescent="0.35">
      <c r="A122" s="2">
        <v>402936</v>
      </c>
      <c r="B122" s="2" t="s">
        <v>156</v>
      </c>
      <c r="C122" s="2">
        <v>245</v>
      </c>
      <c r="D122" s="2">
        <v>331</v>
      </c>
      <c r="E122" s="2">
        <v>1328</v>
      </c>
      <c r="F122" s="2">
        <v>1906</v>
      </c>
      <c r="G122" s="2">
        <v>2640</v>
      </c>
      <c r="H122" s="2">
        <v>2836</v>
      </c>
      <c r="I122" s="2">
        <v>1646</v>
      </c>
      <c r="J122" s="2">
        <v>1064</v>
      </c>
      <c r="K122" s="2">
        <v>869</v>
      </c>
      <c r="L122" s="2">
        <v>1354</v>
      </c>
      <c r="M122" s="2">
        <v>1055</v>
      </c>
      <c r="N122" s="2">
        <v>15274</v>
      </c>
    </row>
    <row r="123" spans="1:14" x14ac:dyDescent="0.35">
      <c r="A123" s="2">
        <v>373933</v>
      </c>
      <c r="B123" s="2" t="s">
        <v>17</v>
      </c>
      <c r="C123" s="2">
        <v>234</v>
      </c>
      <c r="D123" s="2">
        <v>2593</v>
      </c>
      <c r="E123" s="2">
        <v>1539</v>
      </c>
      <c r="F123" s="2">
        <v>1070</v>
      </c>
      <c r="G123" s="2">
        <v>350</v>
      </c>
      <c r="H123" s="2">
        <v>319</v>
      </c>
      <c r="I123" s="2">
        <v>214</v>
      </c>
      <c r="J123" s="2">
        <v>252</v>
      </c>
      <c r="K123" s="2">
        <v>102</v>
      </c>
      <c r="L123" s="2">
        <v>195</v>
      </c>
      <c r="M123" s="2">
        <v>163</v>
      </c>
      <c r="N123" s="2">
        <v>7031</v>
      </c>
    </row>
    <row r="124" spans="1:14" x14ac:dyDescent="0.35">
      <c r="A124" s="2">
        <v>528992</v>
      </c>
      <c r="B124" s="2" t="s">
        <v>95</v>
      </c>
      <c r="C124" s="2">
        <v>218</v>
      </c>
      <c r="D124" s="2">
        <v>170</v>
      </c>
      <c r="E124" s="2">
        <v>170</v>
      </c>
      <c r="F124" s="2">
        <v>389</v>
      </c>
      <c r="G124" s="2">
        <v>1039</v>
      </c>
      <c r="H124" s="2">
        <v>305</v>
      </c>
      <c r="I124" s="2">
        <v>1119</v>
      </c>
      <c r="J124" s="2">
        <v>919</v>
      </c>
      <c r="K124" s="2">
        <v>2855</v>
      </c>
      <c r="L124" s="2">
        <v>913</v>
      </c>
      <c r="M124" s="2">
        <v>476</v>
      </c>
      <c r="N124" s="2">
        <v>8573</v>
      </c>
    </row>
    <row r="125" spans="1:14" x14ac:dyDescent="0.35">
      <c r="A125" s="2">
        <v>232420</v>
      </c>
      <c r="B125" s="2" t="s">
        <v>224</v>
      </c>
      <c r="C125" s="2">
        <v>215</v>
      </c>
      <c r="D125" s="2">
        <v>221</v>
      </c>
      <c r="E125" s="2">
        <v>887</v>
      </c>
      <c r="F125" s="2">
        <v>1613</v>
      </c>
      <c r="G125" s="2">
        <v>500</v>
      </c>
      <c r="H125" s="2">
        <v>540</v>
      </c>
      <c r="I125" s="2">
        <v>335</v>
      </c>
      <c r="J125" s="2">
        <v>180</v>
      </c>
      <c r="K125" s="2">
        <v>5183</v>
      </c>
      <c r="L125" s="2">
        <v>4496</v>
      </c>
      <c r="M125" s="2">
        <v>4843</v>
      </c>
      <c r="N125" s="2">
        <v>19013</v>
      </c>
    </row>
    <row r="126" spans="1:14" x14ac:dyDescent="0.35">
      <c r="A126" s="2">
        <v>338733</v>
      </c>
      <c r="B126" s="2" t="s">
        <v>44</v>
      </c>
      <c r="C126" s="2">
        <v>210</v>
      </c>
      <c r="D126" s="2">
        <v>685</v>
      </c>
      <c r="E126" s="2">
        <v>1181</v>
      </c>
      <c r="F126" s="2">
        <v>671</v>
      </c>
      <c r="G126" s="2">
        <v>329</v>
      </c>
      <c r="H126" s="2">
        <v>69</v>
      </c>
      <c r="I126" s="2">
        <v>368</v>
      </c>
      <c r="J126" s="2">
        <v>254</v>
      </c>
      <c r="K126" s="2">
        <v>1046</v>
      </c>
      <c r="L126" s="2">
        <v>576</v>
      </c>
      <c r="M126" s="2">
        <v>848</v>
      </c>
      <c r="N126" s="2">
        <v>6237</v>
      </c>
    </row>
    <row r="127" spans="1:14" x14ac:dyDescent="0.35">
      <c r="A127" s="2">
        <v>359246</v>
      </c>
      <c r="B127" s="2" t="s">
        <v>267</v>
      </c>
      <c r="C127" s="2">
        <v>204</v>
      </c>
      <c r="D127" s="2">
        <v>134</v>
      </c>
      <c r="E127" s="2">
        <v>193</v>
      </c>
      <c r="F127" s="2">
        <v>403</v>
      </c>
      <c r="G127" s="2">
        <v>226</v>
      </c>
      <c r="H127" s="2">
        <v>192</v>
      </c>
      <c r="I127" s="2">
        <v>99</v>
      </c>
      <c r="J127" s="2">
        <v>591</v>
      </c>
      <c r="K127" s="2">
        <v>55</v>
      </c>
      <c r="L127" s="2">
        <v>63</v>
      </c>
      <c r="M127" s="2">
        <v>111</v>
      </c>
      <c r="N127" s="2">
        <v>2271</v>
      </c>
    </row>
    <row r="128" spans="1:14" x14ac:dyDescent="0.35">
      <c r="A128" s="2">
        <v>338701</v>
      </c>
      <c r="B128" s="2" t="s">
        <v>242</v>
      </c>
      <c r="C128" s="2">
        <v>200</v>
      </c>
      <c r="D128" s="2">
        <v>386</v>
      </c>
      <c r="E128" s="2">
        <v>534</v>
      </c>
      <c r="F128" s="2">
        <v>805</v>
      </c>
      <c r="G128" s="2">
        <v>465</v>
      </c>
      <c r="H128" s="2">
        <v>582</v>
      </c>
      <c r="I128" s="2">
        <v>683</v>
      </c>
      <c r="J128" s="2">
        <v>1261</v>
      </c>
      <c r="K128" s="2">
        <v>824</v>
      </c>
      <c r="L128" s="2">
        <v>547</v>
      </c>
      <c r="M128" s="2">
        <v>563</v>
      </c>
      <c r="N128" s="2">
        <v>6850</v>
      </c>
    </row>
    <row r="129" spans="1:14" x14ac:dyDescent="0.35">
      <c r="A129" s="2">
        <v>553879</v>
      </c>
      <c r="B129" s="2" t="s">
        <v>217</v>
      </c>
      <c r="C129" s="2">
        <v>191</v>
      </c>
      <c r="D129" s="2">
        <v>285</v>
      </c>
      <c r="E129" s="2">
        <v>2292</v>
      </c>
      <c r="F129" s="2">
        <v>1792</v>
      </c>
      <c r="G129" s="2">
        <v>1524</v>
      </c>
      <c r="H129" s="2">
        <v>822</v>
      </c>
      <c r="I129" s="2">
        <v>683</v>
      </c>
      <c r="J129" s="2">
        <v>2915</v>
      </c>
      <c r="K129" s="2">
        <v>2509</v>
      </c>
      <c r="L129" s="2">
        <v>11944</v>
      </c>
      <c r="M129" s="2">
        <v>1807</v>
      </c>
      <c r="N129" s="2">
        <v>26764</v>
      </c>
    </row>
    <row r="130" spans="1:14" x14ac:dyDescent="0.35">
      <c r="A130" s="2">
        <v>587216</v>
      </c>
      <c r="B130" s="2" t="s">
        <v>254</v>
      </c>
      <c r="C130" s="2">
        <v>188</v>
      </c>
      <c r="D130" s="2">
        <v>98</v>
      </c>
      <c r="E130" s="2">
        <v>157</v>
      </c>
      <c r="F130" s="2">
        <v>222</v>
      </c>
      <c r="G130" s="2">
        <v>249</v>
      </c>
      <c r="H130" s="2">
        <v>352</v>
      </c>
      <c r="I130" s="2">
        <v>341</v>
      </c>
      <c r="J130" s="2">
        <v>573</v>
      </c>
      <c r="K130" s="2">
        <v>851</v>
      </c>
      <c r="L130" s="2">
        <v>752</v>
      </c>
      <c r="M130" s="2">
        <v>473</v>
      </c>
      <c r="N130" s="2">
        <v>4256</v>
      </c>
    </row>
    <row r="131" spans="1:14" x14ac:dyDescent="0.35">
      <c r="A131" s="2">
        <v>235903</v>
      </c>
      <c r="B131" s="2" t="s">
        <v>214</v>
      </c>
      <c r="C131" s="2">
        <v>174</v>
      </c>
      <c r="D131" s="2">
        <v>454</v>
      </c>
      <c r="E131" s="2">
        <v>822</v>
      </c>
      <c r="F131" s="2">
        <v>846</v>
      </c>
      <c r="G131" s="2">
        <v>268</v>
      </c>
      <c r="H131" s="2">
        <v>687</v>
      </c>
      <c r="I131" s="2">
        <v>3192</v>
      </c>
      <c r="J131" s="2">
        <v>10402</v>
      </c>
      <c r="K131" s="2">
        <v>3560</v>
      </c>
      <c r="L131" s="2">
        <v>6731</v>
      </c>
      <c r="M131" s="2">
        <v>3506</v>
      </c>
      <c r="N131" s="2">
        <v>30642</v>
      </c>
    </row>
    <row r="132" spans="1:14" x14ac:dyDescent="0.35">
      <c r="A132" s="2">
        <v>523737</v>
      </c>
      <c r="B132" s="2" t="s">
        <v>263</v>
      </c>
      <c r="C132" s="2">
        <v>171</v>
      </c>
      <c r="D132" s="2">
        <v>391</v>
      </c>
      <c r="E132" s="2">
        <v>327</v>
      </c>
      <c r="F132" s="2">
        <v>121</v>
      </c>
      <c r="G132" s="2">
        <v>142</v>
      </c>
      <c r="H132" s="2">
        <v>28</v>
      </c>
      <c r="I132" s="2">
        <v>307</v>
      </c>
      <c r="J132" s="2">
        <v>327</v>
      </c>
      <c r="K132" s="2">
        <v>584</v>
      </c>
      <c r="L132" s="2">
        <v>529</v>
      </c>
      <c r="M132" s="2">
        <v>40</v>
      </c>
      <c r="N132" s="2">
        <v>2967</v>
      </c>
    </row>
    <row r="133" spans="1:14" x14ac:dyDescent="0.35">
      <c r="A133" s="2">
        <v>338736</v>
      </c>
      <c r="B133" s="2" t="s">
        <v>276</v>
      </c>
      <c r="C133" s="2">
        <v>171</v>
      </c>
      <c r="D133" s="2">
        <v>318</v>
      </c>
      <c r="E133" s="2">
        <v>393</v>
      </c>
      <c r="F133" s="2">
        <v>329</v>
      </c>
      <c r="G133" s="2">
        <v>100</v>
      </c>
      <c r="H133" s="2">
        <v>53</v>
      </c>
      <c r="I133" s="2">
        <v>70</v>
      </c>
      <c r="J133" s="2">
        <v>117</v>
      </c>
      <c r="K133" s="2">
        <v>64</v>
      </c>
      <c r="L133" s="2">
        <v>32</v>
      </c>
      <c r="M133" s="2">
        <v>6</v>
      </c>
      <c r="N133" s="2">
        <v>1653</v>
      </c>
    </row>
    <row r="134" spans="1:14" x14ac:dyDescent="0.35">
      <c r="A134" s="2">
        <v>320525</v>
      </c>
      <c r="B134" s="2" t="s">
        <v>261</v>
      </c>
      <c r="C134" s="2">
        <v>169</v>
      </c>
      <c r="D134" s="2">
        <v>44</v>
      </c>
      <c r="E134" s="2">
        <v>384</v>
      </c>
      <c r="F134" s="2">
        <v>247</v>
      </c>
      <c r="G134" s="2">
        <v>388</v>
      </c>
      <c r="H134" s="2">
        <v>528</v>
      </c>
      <c r="I134" s="2">
        <v>168</v>
      </c>
      <c r="J134" s="2">
        <v>414</v>
      </c>
      <c r="K134" s="2">
        <v>594</v>
      </c>
      <c r="L134" s="2">
        <v>131</v>
      </c>
      <c r="M134" s="2">
        <v>150</v>
      </c>
      <c r="N134" s="2">
        <v>3217</v>
      </c>
    </row>
    <row r="135" spans="1:14" x14ac:dyDescent="0.35">
      <c r="A135" s="2">
        <v>441155</v>
      </c>
      <c r="B135" s="2" t="s">
        <v>72</v>
      </c>
      <c r="C135" s="2">
        <v>166</v>
      </c>
      <c r="D135" s="2">
        <v>971</v>
      </c>
      <c r="E135" s="2">
        <v>8374</v>
      </c>
      <c r="F135" s="2">
        <v>4525</v>
      </c>
      <c r="G135" s="2">
        <v>684</v>
      </c>
      <c r="H135" s="2">
        <v>817</v>
      </c>
      <c r="I135" s="2">
        <v>4682</v>
      </c>
      <c r="J135" s="2">
        <v>1400</v>
      </c>
      <c r="K135" s="2">
        <v>838</v>
      </c>
      <c r="L135" s="2">
        <v>2148</v>
      </c>
      <c r="M135" s="2">
        <v>1250</v>
      </c>
      <c r="N135" s="2">
        <v>25855</v>
      </c>
    </row>
    <row r="136" spans="1:14" x14ac:dyDescent="0.35">
      <c r="A136" s="2">
        <v>553949</v>
      </c>
      <c r="B136" s="2" t="s">
        <v>125</v>
      </c>
      <c r="C136" s="2">
        <v>166</v>
      </c>
      <c r="D136" s="2">
        <v>17</v>
      </c>
      <c r="E136" s="2">
        <v>157</v>
      </c>
      <c r="F136" s="2">
        <v>42</v>
      </c>
      <c r="G136" s="2">
        <v>72</v>
      </c>
      <c r="H136" s="2">
        <v>789</v>
      </c>
      <c r="I136" s="2">
        <v>891</v>
      </c>
      <c r="J136" s="2">
        <v>480</v>
      </c>
      <c r="K136" s="2">
        <v>811</v>
      </c>
      <c r="L136" s="2">
        <v>1551</v>
      </c>
      <c r="M136" s="2">
        <v>268</v>
      </c>
      <c r="N136" s="2">
        <v>5244</v>
      </c>
    </row>
    <row r="137" spans="1:14" x14ac:dyDescent="0.35">
      <c r="A137" s="2">
        <v>338734</v>
      </c>
      <c r="B137" s="2" t="s">
        <v>84</v>
      </c>
      <c r="C137" s="2">
        <v>161</v>
      </c>
      <c r="D137" s="2">
        <v>82</v>
      </c>
      <c r="E137" s="2">
        <v>262</v>
      </c>
      <c r="F137" s="2">
        <v>309</v>
      </c>
      <c r="G137" s="2">
        <v>247</v>
      </c>
      <c r="H137" s="2">
        <v>212</v>
      </c>
      <c r="I137" s="2">
        <v>581</v>
      </c>
      <c r="J137" s="2">
        <v>252</v>
      </c>
      <c r="K137" s="2">
        <v>234</v>
      </c>
      <c r="L137" s="2">
        <v>46</v>
      </c>
      <c r="M137" s="2">
        <v>189</v>
      </c>
      <c r="N137" s="2">
        <v>2575</v>
      </c>
    </row>
    <row r="138" spans="1:14" x14ac:dyDescent="0.35">
      <c r="A138" s="2">
        <v>443928</v>
      </c>
      <c r="B138" s="2" t="s">
        <v>69</v>
      </c>
      <c r="C138" s="2">
        <v>153</v>
      </c>
      <c r="D138" s="2">
        <v>178</v>
      </c>
      <c r="E138" s="2">
        <v>150</v>
      </c>
      <c r="F138" s="2">
        <v>299</v>
      </c>
      <c r="G138" s="2">
        <v>286</v>
      </c>
      <c r="H138" s="2">
        <v>189</v>
      </c>
      <c r="I138" s="2">
        <v>302</v>
      </c>
      <c r="J138" s="2">
        <v>1450</v>
      </c>
      <c r="K138" s="2">
        <v>871</v>
      </c>
      <c r="L138" s="2">
        <v>452</v>
      </c>
      <c r="M138" s="2">
        <v>235</v>
      </c>
      <c r="N138" s="2">
        <v>4565</v>
      </c>
    </row>
    <row r="139" spans="1:14" x14ac:dyDescent="0.35">
      <c r="A139" s="2">
        <v>405029</v>
      </c>
      <c r="B139" s="2" t="s">
        <v>162</v>
      </c>
      <c r="C139" s="2">
        <v>148</v>
      </c>
      <c r="D139" s="2">
        <v>184</v>
      </c>
      <c r="E139" s="2">
        <v>293</v>
      </c>
      <c r="F139" s="2">
        <v>290</v>
      </c>
      <c r="G139" s="2">
        <v>138</v>
      </c>
      <c r="H139" s="2">
        <v>181</v>
      </c>
      <c r="I139" s="2">
        <v>266</v>
      </c>
      <c r="J139" s="2">
        <v>1294</v>
      </c>
      <c r="K139" s="2">
        <v>1002</v>
      </c>
      <c r="L139" s="2">
        <v>347</v>
      </c>
      <c r="M139" s="2">
        <v>219</v>
      </c>
      <c r="N139" s="2">
        <v>4362</v>
      </c>
    </row>
    <row r="140" spans="1:14" x14ac:dyDescent="0.35">
      <c r="A140" s="2">
        <v>338721</v>
      </c>
      <c r="B140" s="2" t="s">
        <v>278</v>
      </c>
      <c r="C140" s="2">
        <v>146</v>
      </c>
      <c r="D140" s="2">
        <v>50</v>
      </c>
      <c r="E140" s="2">
        <v>165</v>
      </c>
      <c r="F140" s="2">
        <v>128</v>
      </c>
      <c r="G140" s="2">
        <v>57</v>
      </c>
      <c r="H140" s="2">
        <v>16</v>
      </c>
      <c r="I140" s="2">
        <v>31</v>
      </c>
      <c r="J140" s="2">
        <v>95</v>
      </c>
      <c r="K140" s="2">
        <v>248</v>
      </c>
      <c r="L140" s="2">
        <v>455</v>
      </c>
      <c r="M140" s="2">
        <v>119</v>
      </c>
      <c r="N140" s="2">
        <v>1510</v>
      </c>
    </row>
    <row r="141" spans="1:14" x14ac:dyDescent="0.35">
      <c r="A141" s="2">
        <v>338690</v>
      </c>
      <c r="B141" s="2" t="s">
        <v>283</v>
      </c>
      <c r="C141" s="2">
        <v>135</v>
      </c>
      <c r="D141" s="2">
        <v>104</v>
      </c>
      <c r="E141" s="2">
        <v>183</v>
      </c>
      <c r="F141" s="2">
        <v>189</v>
      </c>
      <c r="G141" s="2">
        <v>111</v>
      </c>
      <c r="H141" s="2">
        <v>116</v>
      </c>
      <c r="I141" s="2">
        <v>101</v>
      </c>
      <c r="J141" s="2">
        <v>83</v>
      </c>
      <c r="K141" s="2">
        <v>93</v>
      </c>
      <c r="L141" s="2">
        <v>82</v>
      </c>
      <c r="M141" s="2">
        <v>86</v>
      </c>
      <c r="N141" s="2">
        <v>1283</v>
      </c>
    </row>
    <row r="142" spans="1:14" x14ac:dyDescent="0.35">
      <c r="A142" s="2">
        <v>395321</v>
      </c>
      <c r="B142" s="2" t="s">
        <v>98</v>
      </c>
      <c r="C142" s="2">
        <v>133</v>
      </c>
      <c r="D142" s="2">
        <v>266</v>
      </c>
      <c r="E142" s="2">
        <v>210</v>
      </c>
      <c r="F142" s="2">
        <v>65</v>
      </c>
      <c r="G142" s="2">
        <v>73</v>
      </c>
      <c r="H142" s="2">
        <v>188</v>
      </c>
      <c r="I142" s="2">
        <v>103</v>
      </c>
      <c r="J142" s="2">
        <v>109</v>
      </c>
      <c r="K142" s="2">
        <v>73</v>
      </c>
      <c r="L142" s="2">
        <v>95</v>
      </c>
      <c r="M142" s="2">
        <v>546</v>
      </c>
      <c r="N142" s="2">
        <v>1861</v>
      </c>
    </row>
    <row r="143" spans="1:14" x14ac:dyDescent="0.35">
      <c r="A143" s="2">
        <v>632110</v>
      </c>
      <c r="B143" s="2" t="s">
        <v>271</v>
      </c>
      <c r="C143" s="2">
        <v>132</v>
      </c>
      <c r="D143" s="2">
        <v>103</v>
      </c>
      <c r="E143" s="2">
        <v>273</v>
      </c>
      <c r="F143" s="2">
        <v>254</v>
      </c>
      <c r="G143" s="2">
        <v>185</v>
      </c>
      <c r="H143" s="2">
        <v>232</v>
      </c>
      <c r="I143" s="2">
        <v>96</v>
      </c>
      <c r="J143" s="2">
        <v>238</v>
      </c>
      <c r="K143" s="2">
        <v>171</v>
      </c>
      <c r="L143" s="2">
        <v>201</v>
      </c>
      <c r="M143" s="2">
        <v>118</v>
      </c>
      <c r="N143" s="2">
        <v>2003</v>
      </c>
    </row>
    <row r="144" spans="1:14" x14ac:dyDescent="0.35">
      <c r="A144" s="2">
        <v>7031</v>
      </c>
      <c r="B144" s="2" t="s">
        <v>12</v>
      </c>
      <c r="C144" s="2">
        <v>130</v>
      </c>
      <c r="D144" s="2">
        <v>228</v>
      </c>
      <c r="E144" s="2">
        <v>184</v>
      </c>
      <c r="F144" s="2">
        <v>229</v>
      </c>
      <c r="G144" s="2">
        <v>137</v>
      </c>
      <c r="H144" s="2">
        <v>178</v>
      </c>
      <c r="I144" s="2">
        <v>127</v>
      </c>
      <c r="J144" s="2">
        <v>246</v>
      </c>
      <c r="K144" s="2">
        <v>156</v>
      </c>
      <c r="L144" s="2">
        <v>108</v>
      </c>
      <c r="M144" s="2">
        <v>139</v>
      </c>
      <c r="N144" s="2">
        <v>1862</v>
      </c>
    </row>
    <row r="145" spans="1:14" x14ac:dyDescent="0.35">
      <c r="A145" s="2">
        <v>433604</v>
      </c>
      <c r="B145" s="2" t="s">
        <v>274</v>
      </c>
      <c r="C145" s="2">
        <v>129</v>
      </c>
      <c r="D145" s="2">
        <v>77</v>
      </c>
      <c r="E145" s="2">
        <v>146</v>
      </c>
      <c r="F145" s="2">
        <v>195</v>
      </c>
      <c r="G145" s="2">
        <v>103</v>
      </c>
      <c r="H145" s="2">
        <v>132</v>
      </c>
      <c r="I145" s="2">
        <v>188</v>
      </c>
      <c r="J145" s="2">
        <v>233</v>
      </c>
      <c r="K145" s="2">
        <v>203</v>
      </c>
      <c r="L145" s="2">
        <v>209</v>
      </c>
      <c r="M145" s="2">
        <v>100</v>
      </c>
      <c r="N145" s="2">
        <v>1715</v>
      </c>
    </row>
    <row r="146" spans="1:14" x14ac:dyDescent="0.35">
      <c r="A146" s="2">
        <v>1222411</v>
      </c>
      <c r="B146" s="2" t="s">
        <v>266</v>
      </c>
      <c r="C146" s="2">
        <v>126</v>
      </c>
      <c r="D146" s="2">
        <v>109</v>
      </c>
      <c r="E146" s="2">
        <v>331</v>
      </c>
      <c r="F146" s="2">
        <v>111</v>
      </c>
      <c r="G146" s="2">
        <v>65</v>
      </c>
      <c r="H146" s="2">
        <v>50</v>
      </c>
      <c r="I146" s="2">
        <v>76</v>
      </c>
      <c r="J146" s="2">
        <v>1069</v>
      </c>
      <c r="K146" s="2">
        <v>175</v>
      </c>
      <c r="L146" s="2">
        <v>93</v>
      </c>
      <c r="M146" s="2">
        <v>217</v>
      </c>
      <c r="N146" s="2">
        <v>2422</v>
      </c>
    </row>
    <row r="147" spans="1:14" x14ac:dyDescent="0.35">
      <c r="A147" s="2">
        <v>338705</v>
      </c>
      <c r="B147" s="2" t="s">
        <v>282</v>
      </c>
      <c r="C147" s="2">
        <v>125</v>
      </c>
      <c r="D147" s="2">
        <v>45</v>
      </c>
      <c r="E147" s="2">
        <v>156</v>
      </c>
      <c r="F147" s="2">
        <v>221</v>
      </c>
      <c r="G147" s="2">
        <v>183</v>
      </c>
      <c r="H147" s="2">
        <v>180</v>
      </c>
      <c r="I147" s="2">
        <v>137</v>
      </c>
      <c r="J147" s="2">
        <v>125</v>
      </c>
      <c r="K147" s="2">
        <v>84</v>
      </c>
      <c r="L147" s="2">
        <v>71</v>
      </c>
      <c r="M147" s="2">
        <v>20</v>
      </c>
      <c r="N147" s="2">
        <v>1347</v>
      </c>
    </row>
    <row r="148" spans="1:14" s="17" customFormat="1" x14ac:dyDescent="0.35">
      <c r="A148" s="26">
        <v>18437</v>
      </c>
      <c r="B148" s="26" t="s">
        <v>216</v>
      </c>
      <c r="C148" s="26">
        <v>124</v>
      </c>
      <c r="D148" s="26">
        <v>4415</v>
      </c>
      <c r="E148" s="26">
        <v>11030</v>
      </c>
      <c r="F148" s="26">
        <v>5249</v>
      </c>
      <c r="G148" s="26">
        <v>606</v>
      </c>
      <c r="H148" s="26">
        <v>1522</v>
      </c>
      <c r="I148" s="26">
        <v>1064</v>
      </c>
      <c r="J148" s="26">
        <v>698</v>
      </c>
      <c r="K148" s="26">
        <v>893</v>
      </c>
      <c r="L148" s="26">
        <v>532</v>
      </c>
      <c r="M148" s="26">
        <v>663</v>
      </c>
      <c r="N148" s="26">
        <v>26796</v>
      </c>
    </row>
    <row r="149" spans="1:14" x14ac:dyDescent="0.35">
      <c r="A149" s="2">
        <v>246265</v>
      </c>
      <c r="B149" s="2" t="s">
        <v>207</v>
      </c>
      <c r="C149" s="2">
        <v>119</v>
      </c>
      <c r="D149" s="2">
        <v>910</v>
      </c>
      <c r="E149" s="2">
        <v>2177</v>
      </c>
      <c r="F149" s="2">
        <v>1274</v>
      </c>
      <c r="G149" s="2">
        <v>778</v>
      </c>
      <c r="H149" s="2">
        <v>1688</v>
      </c>
      <c r="I149" s="2">
        <v>1078</v>
      </c>
      <c r="J149" s="2">
        <v>5610</v>
      </c>
      <c r="K149" s="2">
        <v>21483</v>
      </c>
      <c r="L149" s="2">
        <v>4775</v>
      </c>
      <c r="M149" s="2">
        <v>773</v>
      </c>
      <c r="N149" s="2">
        <v>40665</v>
      </c>
    </row>
    <row r="150" spans="1:14" x14ac:dyDescent="0.35">
      <c r="A150" s="2">
        <v>422028</v>
      </c>
      <c r="B150" s="2" t="s">
        <v>302</v>
      </c>
      <c r="C150" s="2">
        <v>113</v>
      </c>
      <c r="D150" s="2">
        <v>34</v>
      </c>
      <c r="E150" s="2">
        <v>152</v>
      </c>
      <c r="F150" s="2">
        <v>94</v>
      </c>
      <c r="G150" s="2">
        <v>7</v>
      </c>
      <c r="H150" s="2">
        <v>8</v>
      </c>
      <c r="I150" s="2">
        <v>5</v>
      </c>
      <c r="J150" s="2">
        <v>16</v>
      </c>
      <c r="K150" s="2">
        <v>12</v>
      </c>
      <c r="L150" s="2">
        <v>4</v>
      </c>
      <c r="M150" s="2">
        <v>13</v>
      </c>
      <c r="N150" s="2">
        <v>458</v>
      </c>
    </row>
    <row r="151" spans="1:14" x14ac:dyDescent="0.35">
      <c r="A151" s="2">
        <v>413366</v>
      </c>
      <c r="B151" s="2" t="s">
        <v>281</v>
      </c>
      <c r="C151" s="2">
        <v>111</v>
      </c>
      <c r="D151" s="2">
        <v>617</v>
      </c>
      <c r="E151" s="2">
        <v>173</v>
      </c>
      <c r="F151" s="2">
        <v>71</v>
      </c>
      <c r="G151" s="2">
        <v>147</v>
      </c>
      <c r="H151" s="2">
        <v>193</v>
      </c>
      <c r="I151" s="2">
        <v>20</v>
      </c>
      <c r="J151" s="2">
        <v>15</v>
      </c>
      <c r="K151" s="2">
        <v>16</v>
      </c>
      <c r="L151" s="2">
        <v>6</v>
      </c>
      <c r="M151" s="2">
        <v>5</v>
      </c>
      <c r="N151" s="2">
        <v>1374</v>
      </c>
    </row>
    <row r="152" spans="1:14" x14ac:dyDescent="0.35">
      <c r="A152" s="2">
        <v>326701</v>
      </c>
      <c r="B152" s="2" t="s">
        <v>262</v>
      </c>
      <c r="C152" s="2">
        <v>107</v>
      </c>
      <c r="D152" s="2">
        <v>49</v>
      </c>
      <c r="E152" s="2">
        <v>181</v>
      </c>
      <c r="F152" s="2">
        <v>102</v>
      </c>
      <c r="G152" s="2">
        <v>267</v>
      </c>
      <c r="H152" s="2">
        <v>225</v>
      </c>
      <c r="I152" s="2">
        <v>143</v>
      </c>
      <c r="J152" s="2">
        <v>287</v>
      </c>
      <c r="K152" s="2">
        <v>1098</v>
      </c>
      <c r="L152" s="2">
        <v>440</v>
      </c>
      <c r="M152" s="2">
        <v>130</v>
      </c>
      <c r="N152" s="2">
        <v>3029</v>
      </c>
    </row>
    <row r="153" spans="1:14" x14ac:dyDescent="0.35">
      <c r="A153" s="2">
        <v>338712</v>
      </c>
      <c r="B153" s="2" t="s">
        <v>284</v>
      </c>
      <c r="C153" s="2">
        <v>103</v>
      </c>
      <c r="D153" s="2">
        <v>46</v>
      </c>
      <c r="E153" s="2">
        <v>119</v>
      </c>
      <c r="F153" s="2">
        <v>108</v>
      </c>
      <c r="G153" s="2">
        <v>85</v>
      </c>
      <c r="H153" s="2">
        <v>65</v>
      </c>
      <c r="I153" s="2">
        <v>126</v>
      </c>
      <c r="J153" s="2">
        <v>160</v>
      </c>
      <c r="K153" s="2">
        <v>139</v>
      </c>
      <c r="L153" s="2">
        <v>91</v>
      </c>
      <c r="M153" s="2">
        <v>80</v>
      </c>
      <c r="N153" s="2">
        <v>1122</v>
      </c>
    </row>
    <row r="154" spans="1:14" x14ac:dyDescent="0.35">
      <c r="A154" s="2">
        <v>422074</v>
      </c>
      <c r="B154" s="2" t="s">
        <v>36</v>
      </c>
      <c r="C154" s="2">
        <v>95</v>
      </c>
      <c r="D154" s="2">
        <v>103</v>
      </c>
      <c r="E154" s="2">
        <v>223</v>
      </c>
      <c r="F154" s="2">
        <v>199</v>
      </c>
      <c r="G154" s="2">
        <v>82</v>
      </c>
      <c r="H154" s="2">
        <v>217</v>
      </c>
      <c r="I154" s="2">
        <v>614</v>
      </c>
      <c r="J154" s="2">
        <v>3612</v>
      </c>
      <c r="K154" s="2">
        <v>116</v>
      </c>
      <c r="L154" s="2">
        <v>275</v>
      </c>
      <c r="M154" s="2">
        <v>83</v>
      </c>
      <c r="N154" s="2">
        <v>5619</v>
      </c>
    </row>
    <row r="155" spans="1:14" x14ac:dyDescent="0.35">
      <c r="A155" s="2">
        <v>463566</v>
      </c>
      <c r="B155" s="2" t="s">
        <v>265</v>
      </c>
      <c r="C155" s="2">
        <v>93</v>
      </c>
      <c r="D155" s="2">
        <v>29</v>
      </c>
      <c r="E155" s="2">
        <v>165</v>
      </c>
      <c r="F155" s="2">
        <v>281</v>
      </c>
      <c r="G155" s="2">
        <v>208</v>
      </c>
      <c r="H155" s="2">
        <v>392</v>
      </c>
      <c r="I155" s="2">
        <v>266</v>
      </c>
      <c r="J155" s="2">
        <v>345</v>
      </c>
      <c r="K155" s="2">
        <v>295</v>
      </c>
      <c r="L155" s="2">
        <v>159</v>
      </c>
      <c r="M155" s="2">
        <v>570</v>
      </c>
      <c r="N155" s="2">
        <v>2803</v>
      </c>
    </row>
    <row r="156" spans="1:14" x14ac:dyDescent="0.35">
      <c r="A156" s="2">
        <v>338745</v>
      </c>
      <c r="B156" s="2" t="s">
        <v>277</v>
      </c>
      <c r="C156" s="2">
        <v>80</v>
      </c>
      <c r="D156" s="2">
        <v>78</v>
      </c>
      <c r="E156" s="2">
        <v>205</v>
      </c>
      <c r="F156" s="2">
        <v>172</v>
      </c>
      <c r="G156" s="2">
        <v>158</v>
      </c>
      <c r="H156" s="2">
        <v>148</v>
      </c>
      <c r="I156" s="2">
        <v>159</v>
      </c>
      <c r="J156" s="2">
        <v>131</v>
      </c>
      <c r="K156" s="2">
        <v>234</v>
      </c>
      <c r="L156" s="2">
        <v>114</v>
      </c>
      <c r="M156" s="2">
        <v>166</v>
      </c>
      <c r="N156" s="2">
        <v>1645</v>
      </c>
    </row>
    <row r="157" spans="1:14" x14ac:dyDescent="0.35">
      <c r="A157" s="2">
        <v>338685</v>
      </c>
      <c r="B157" s="2" t="s">
        <v>250</v>
      </c>
      <c r="C157" s="2">
        <v>79</v>
      </c>
      <c r="D157" s="2">
        <v>96</v>
      </c>
      <c r="E157" s="2">
        <v>197</v>
      </c>
      <c r="F157" s="2">
        <v>140</v>
      </c>
      <c r="G157" s="2">
        <v>101</v>
      </c>
      <c r="H157" s="2">
        <v>177</v>
      </c>
      <c r="I157" s="2">
        <v>1890</v>
      </c>
      <c r="J157" s="2">
        <v>331</v>
      </c>
      <c r="K157" s="2">
        <v>150</v>
      </c>
      <c r="L157" s="2">
        <v>1486</v>
      </c>
      <c r="M157" s="2">
        <v>594</v>
      </c>
      <c r="N157" s="2">
        <v>5241</v>
      </c>
    </row>
    <row r="158" spans="1:14" x14ac:dyDescent="0.35">
      <c r="A158" s="2">
        <v>195649</v>
      </c>
      <c r="B158" s="2" t="s">
        <v>80</v>
      </c>
      <c r="C158" s="2">
        <v>78</v>
      </c>
      <c r="D158" s="2">
        <v>2909</v>
      </c>
      <c r="E158" s="2">
        <v>582</v>
      </c>
      <c r="F158" s="2">
        <v>266</v>
      </c>
      <c r="G158" s="2">
        <v>127</v>
      </c>
      <c r="H158" s="2">
        <v>98</v>
      </c>
      <c r="I158" s="2">
        <v>175</v>
      </c>
      <c r="J158" s="2">
        <v>176</v>
      </c>
      <c r="K158" s="2">
        <v>130</v>
      </c>
      <c r="L158" s="2">
        <v>236</v>
      </c>
      <c r="M158" s="2">
        <v>169</v>
      </c>
      <c r="N158" s="2">
        <v>4946</v>
      </c>
    </row>
    <row r="159" spans="1:14" x14ac:dyDescent="0.35">
      <c r="A159" s="2">
        <v>443390</v>
      </c>
      <c r="B159" s="2" t="s">
        <v>260</v>
      </c>
      <c r="C159" s="2">
        <v>77</v>
      </c>
      <c r="D159" s="2">
        <v>328</v>
      </c>
      <c r="E159" s="2">
        <v>142</v>
      </c>
      <c r="F159" s="2">
        <v>124</v>
      </c>
      <c r="G159" s="2">
        <v>99</v>
      </c>
      <c r="H159" s="2">
        <v>45</v>
      </c>
      <c r="I159" s="2">
        <v>46</v>
      </c>
      <c r="J159" s="2">
        <v>443</v>
      </c>
      <c r="K159" s="2">
        <v>213</v>
      </c>
      <c r="L159" s="2">
        <v>11</v>
      </c>
      <c r="M159" s="2"/>
      <c r="N159" s="2">
        <v>1528</v>
      </c>
    </row>
    <row r="160" spans="1:14" x14ac:dyDescent="0.35">
      <c r="A160" s="2">
        <v>338723</v>
      </c>
      <c r="B160" s="2" t="s">
        <v>288</v>
      </c>
      <c r="C160" s="2">
        <v>74</v>
      </c>
      <c r="D160" s="2">
        <v>71</v>
      </c>
      <c r="E160" s="2">
        <v>147</v>
      </c>
      <c r="F160" s="2">
        <v>112</v>
      </c>
      <c r="G160" s="2">
        <v>79</v>
      </c>
      <c r="H160" s="2">
        <v>86</v>
      </c>
      <c r="I160" s="2">
        <v>72</v>
      </c>
      <c r="J160" s="2">
        <v>83</v>
      </c>
      <c r="K160" s="2">
        <v>139</v>
      </c>
      <c r="L160" s="2">
        <v>85</v>
      </c>
      <c r="M160" s="2">
        <v>78</v>
      </c>
      <c r="N160" s="2">
        <v>1026</v>
      </c>
    </row>
    <row r="161" spans="1:14" x14ac:dyDescent="0.35">
      <c r="A161" s="2">
        <v>553954</v>
      </c>
      <c r="B161" s="2" t="s">
        <v>319</v>
      </c>
      <c r="C161" s="2">
        <v>60</v>
      </c>
      <c r="D161" s="2">
        <v>4</v>
      </c>
      <c r="E161" s="2">
        <v>1</v>
      </c>
      <c r="F161" s="2">
        <v>7</v>
      </c>
      <c r="G161" s="2">
        <v>2</v>
      </c>
      <c r="H161" s="2">
        <v>3</v>
      </c>
      <c r="I161" s="2">
        <v>5</v>
      </c>
      <c r="J161" s="2">
        <v>8</v>
      </c>
      <c r="K161" s="2">
        <v>13</v>
      </c>
      <c r="L161" s="2">
        <v>34</v>
      </c>
      <c r="M161" s="2">
        <v>1</v>
      </c>
      <c r="N161" s="2">
        <v>138</v>
      </c>
    </row>
    <row r="162" spans="1:14" x14ac:dyDescent="0.35">
      <c r="A162" s="2">
        <v>413233</v>
      </c>
      <c r="B162" s="2" t="s">
        <v>275</v>
      </c>
      <c r="C162" s="2">
        <v>59</v>
      </c>
      <c r="D162" s="2">
        <v>71</v>
      </c>
      <c r="E162" s="2">
        <v>196</v>
      </c>
      <c r="F162" s="2">
        <v>122</v>
      </c>
      <c r="G162" s="2">
        <v>214</v>
      </c>
      <c r="H162" s="2">
        <v>103</v>
      </c>
      <c r="I162" s="2">
        <v>173</v>
      </c>
      <c r="J162" s="2">
        <v>204</v>
      </c>
      <c r="K162" s="2">
        <v>262</v>
      </c>
      <c r="L162" s="2">
        <v>159</v>
      </c>
      <c r="M162" s="2">
        <v>127</v>
      </c>
      <c r="N162" s="2">
        <v>1690</v>
      </c>
    </row>
    <row r="163" spans="1:14" x14ac:dyDescent="0.35">
      <c r="A163" s="2">
        <v>338730</v>
      </c>
      <c r="B163" s="2" t="s">
        <v>299</v>
      </c>
      <c r="C163" s="2">
        <v>59</v>
      </c>
      <c r="D163" s="2">
        <v>42</v>
      </c>
      <c r="E163" s="2">
        <v>87</v>
      </c>
      <c r="F163" s="2">
        <v>30</v>
      </c>
      <c r="G163" s="2">
        <v>17</v>
      </c>
      <c r="H163" s="2">
        <v>74</v>
      </c>
      <c r="I163" s="2">
        <v>44</v>
      </c>
      <c r="J163" s="2">
        <v>97</v>
      </c>
      <c r="K163" s="2">
        <v>31</v>
      </c>
      <c r="L163" s="2">
        <v>33</v>
      </c>
      <c r="M163" s="2">
        <v>25</v>
      </c>
      <c r="N163" s="2">
        <v>539</v>
      </c>
    </row>
    <row r="164" spans="1:14" x14ac:dyDescent="0.35">
      <c r="A164" s="2">
        <v>338683</v>
      </c>
      <c r="B164" s="2" t="s">
        <v>300</v>
      </c>
      <c r="C164" s="2">
        <v>54</v>
      </c>
      <c r="D164" s="2">
        <v>76</v>
      </c>
      <c r="E164" s="2">
        <v>71</v>
      </c>
      <c r="F164" s="2">
        <v>61</v>
      </c>
      <c r="G164" s="2">
        <v>33</v>
      </c>
      <c r="H164" s="2">
        <v>39</v>
      </c>
      <c r="I164" s="2">
        <v>20</v>
      </c>
      <c r="J164" s="2">
        <v>39</v>
      </c>
      <c r="K164" s="2">
        <v>57</v>
      </c>
      <c r="L164" s="2">
        <v>20</v>
      </c>
      <c r="M164" s="2">
        <v>31</v>
      </c>
      <c r="N164" s="2">
        <v>501</v>
      </c>
    </row>
    <row r="165" spans="1:14" x14ac:dyDescent="0.35">
      <c r="A165" s="2">
        <v>681443</v>
      </c>
      <c r="B165" s="2" t="s">
        <v>83</v>
      </c>
      <c r="C165" s="2">
        <v>51</v>
      </c>
      <c r="D165" s="2">
        <v>2911</v>
      </c>
      <c r="E165" s="2">
        <v>6415</v>
      </c>
      <c r="F165" s="2">
        <v>4887</v>
      </c>
      <c r="G165" s="2">
        <v>2541</v>
      </c>
      <c r="H165" s="2">
        <v>1972</v>
      </c>
      <c r="I165" s="2">
        <v>1135</v>
      </c>
      <c r="J165" s="2">
        <v>1093</v>
      </c>
      <c r="K165" s="2">
        <v>630</v>
      </c>
      <c r="L165" s="2">
        <v>1601</v>
      </c>
      <c r="M165" s="2">
        <v>1437</v>
      </c>
      <c r="N165" s="2">
        <v>24673</v>
      </c>
    </row>
    <row r="166" spans="1:14" x14ac:dyDescent="0.35">
      <c r="A166" s="2">
        <v>501960</v>
      </c>
      <c r="B166" s="2" t="s">
        <v>294</v>
      </c>
      <c r="C166" s="2">
        <v>51</v>
      </c>
      <c r="D166" s="2">
        <v>30</v>
      </c>
      <c r="E166" s="2">
        <v>84</v>
      </c>
      <c r="F166" s="2">
        <v>28</v>
      </c>
      <c r="G166" s="2">
        <v>35</v>
      </c>
      <c r="H166" s="2">
        <v>59</v>
      </c>
      <c r="I166" s="2">
        <v>55</v>
      </c>
      <c r="J166" s="2">
        <v>38</v>
      </c>
      <c r="K166" s="2">
        <v>203</v>
      </c>
      <c r="L166" s="2">
        <v>40</v>
      </c>
      <c r="M166" s="2">
        <v>58</v>
      </c>
      <c r="N166" s="2">
        <v>681</v>
      </c>
    </row>
    <row r="167" spans="1:14" x14ac:dyDescent="0.35">
      <c r="A167" s="2">
        <v>445325</v>
      </c>
      <c r="B167" s="2" t="s">
        <v>73</v>
      </c>
      <c r="C167" s="2">
        <v>49</v>
      </c>
      <c r="D167" s="2">
        <v>46</v>
      </c>
      <c r="E167" s="2">
        <v>23</v>
      </c>
      <c r="F167" s="2">
        <v>15</v>
      </c>
      <c r="G167" s="2">
        <v>409</v>
      </c>
      <c r="H167" s="2">
        <v>14</v>
      </c>
      <c r="I167" s="2">
        <v>4</v>
      </c>
      <c r="J167" s="2">
        <v>30</v>
      </c>
      <c r="K167" s="2">
        <v>113</v>
      </c>
      <c r="L167" s="2">
        <v>84</v>
      </c>
      <c r="M167" s="2">
        <v>42</v>
      </c>
      <c r="N167" s="2">
        <v>829</v>
      </c>
    </row>
    <row r="168" spans="1:14" x14ac:dyDescent="0.35">
      <c r="A168" s="2">
        <v>338739</v>
      </c>
      <c r="B168" s="2" t="s">
        <v>323</v>
      </c>
      <c r="C168" s="2">
        <v>46</v>
      </c>
      <c r="D168" s="2"/>
      <c r="E168" s="2">
        <v>1</v>
      </c>
      <c r="F168" s="2">
        <v>4</v>
      </c>
      <c r="G168" s="2"/>
      <c r="H168" s="2"/>
      <c r="I168" s="2"/>
      <c r="J168" s="2">
        <v>17</v>
      </c>
      <c r="K168" s="2">
        <v>1</v>
      </c>
      <c r="L168" s="2">
        <v>2</v>
      </c>
      <c r="M168" s="2"/>
      <c r="N168" s="2">
        <v>71</v>
      </c>
    </row>
    <row r="169" spans="1:14" x14ac:dyDescent="0.35">
      <c r="A169" s="2">
        <v>508848</v>
      </c>
      <c r="B169" s="2" t="s">
        <v>253</v>
      </c>
      <c r="C169" s="2">
        <v>39</v>
      </c>
      <c r="D169" s="2">
        <v>39</v>
      </c>
      <c r="E169" s="2">
        <v>66</v>
      </c>
      <c r="F169" s="2">
        <v>189</v>
      </c>
      <c r="G169" s="2">
        <v>1302</v>
      </c>
      <c r="H169" s="2">
        <v>255</v>
      </c>
      <c r="I169" s="2">
        <v>1569</v>
      </c>
      <c r="J169" s="2">
        <v>72</v>
      </c>
      <c r="K169" s="2">
        <v>162</v>
      </c>
      <c r="L169" s="2">
        <v>736</v>
      </c>
      <c r="M169" s="2">
        <v>21</v>
      </c>
      <c r="N169" s="2">
        <v>4450</v>
      </c>
    </row>
    <row r="170" spans="1:14" x14ac:dyDescent="0.35">
      <c r="A170" s="2">
        <v>553900</v>
      </c>
      <c r="B170" s="2" t="s">
        <v>268</v>
      </c>
      <c r="C170" s="2">
        <v>39</v>
      </c>
      <c r="D170" s="2">
        <v>38</v>
      </c>
      <c r="E170" s="2">
        <v>84</v>
      </c>
      <c r="F170" s="2">
        <v>148</v>
      </c>
      <c r="G170" s="2">
        <v>27</v>
      </c>
      <c r="H170" s="2">
        <v>76</v>
      </c>
      <c r="I170" s="2">
        <v>519</v>
      </c>
      <c r="J170" s="2">
        <v>350</v>
      </c>
      <c r="K170" s="2">
        <v>614</v>
      </c>
      <c r="L170" s="2">
        <v>348</v>
      </c>
      <c r="M170" s="2">
        <v>12</v>
      </c>
      <c r="N170" s="2">
        <v>2255</v>
      </c>
    </row>
    <row r="171" spans="1:14" x14ac:dyDescent="0.35">
      <c r="A171" s="2">
        <v>360712</v>
      </c>
      <c r="B171" s="2" t="s">
        <v>272</v>
      </c>
      <c r="C171" s="2">
        <v>39</v>
      </c>
      <c r="D171" s="2">
        <v>35</v>
      </c>
      <c r="E171" s="2">
        <v>123</v>
      </c>
      <c r="F171" s="2">
        <v>55</v>
      </c>
      <c r="G171" s="2">
        <v>29</v>
      </c>
      <c r="H171" s="2">
        <v>25</v>
      </c>
      <c r="I171" s="2">
        <v>46</v>
      </c>
      <c r="J171" s="2">
        <v>405</v>
      </c>
      <c r="K171" s="2">
        <v>780</v>
      </c>
      <c r="L171" s="2">
        <v>348</v>
      </c>
      <c r="M171" s="2">
        <v>54</v>
      </c>
      <c r="N171" s="2">
        <v>1939</v>
      </c>
    </row>
    <row r="172" spans="1:14" x14ac:dyDescent="0.35">
      <c r="A172" s="2">
        <v>487757</v>
      </c>
      <c r="B172" s="2" t="s">
        <v>89</v>
      </c>
      <c r="C172" s="2">
        <v>38</v>
      </c>
      <c r="D172" s="2">
        <v>177</v>
      </c>
      <c r="E172" s="2">
        <v>340</v>
      </c>
      <c r="F172" s="2">
        <v>786</v>
      </c>
      <c r="G172" s="2">
        <v>252</v>
      </c>
      <c r="H172" s="2">
        <v>219</v>
      </c>
      <c r="I172" s="2">
        <v>291</v>
      </c>
      <c r="J172" s="2">
        <v>999</v>
      </c>
      <c r="K172" s="2">
        <v>2718</v>
      </c>
      <c r="L172" s="2">
        <v>1421</v>
      </c>
      <c r="M172" s="2">
        <v>5107</v>
      </c>
      <c r="N172" s="2">
        <v>12348</v>
      </c>
    </row>
    <row r="173" spans="1:14" x14ac:dyDescent="0.35">
      <c r="A173" s="2">
        <v>438481</v>
      </c>
      <c r="B173" s="2" t="s">
        <v>307</v>
      </c>
      <c r="C173" s="2">
        <v>33</v>
      </c>
      <c r="D173" s="2">
        <v>6</v>
      </c>
      <c r="E173" s="2">
        <v>29</v>
      </c>
      <c r="F173" s="2">
        <v>210</v>
      </c>
      <c r="G173" s="2">
        <v>2</v>
      </c>
      <c r="H173" s="2">
        <v>1</v>
      </c>
      <c r="I173" s="2"/>
      <c r="J173" s="2">
        <v>1</v>
      </c>
      <c r="K173" s="2">
        <v>2</v>
      </c>
      <c r="L173" s="2">
        <v>3</v>
      </c>
      <c r="M173" s="2"/>
      <c r="N173" s="2">
        <v>287</v>
      </c>
    </row>
    <row r="174" spans="1:14" x14ac:dyDescent="0.35">
      <c r="A174" s="2">
        <v>326700</v>
      </c>
      <c r="B174" s="2" t="s">
        <v>246</v>
      </c>
      <c r="C174" s="2">
        <v>32</v>
      </c>
      <c r="D174" s="2">
        <v>6</v>
      </c>
      <c r="E174" s="2">
        <v>14</v>
      </c>
      <c r="F174" s="2">
        <v>33</v>
      </c>
      <c r="G174" s="2">
        <v>13</v>
      </c>
      <c r="H174" s="2">
        <v>2</v>
      </c>
      <c r="I174" s="2">
        <v>95</v>
      </c>
      <c r="J174" s="2">
        <v>4729</v>
      </c>
      <c r="K174" s="2">
        <v>312</v>
      </c>
      <c r="L174" s="2">
        <v>127</v>
      </c>
      <c r="M174" s="2">
        <v>98</v>
      </c>
      <c r="N174" s="2">
        <v>5461</v>
      </c>
    </row>
    <row r="175" spans="1:14" x14ac:dyDescent="0.35">
      <c r="A175" s="2">
        <v>326712</v>
      </c>
      <c r="B175" s="2" t="s">
        <v>306</v>
      </c>
      <c r="C175" s="2">
        <v>30</v>
      </c>
      <c r="D175" s="2">
        <v>23</v>
      </c>
      <c r="E175" s="2">
        <v>22</v>
      </c>
      <c r="F175" s="2">
        <v>40</v>
      </c>
      <c r="G175" s="2">
        <v>70</v>
      </c>
      <c r="H175" s="2">
        <v>53</v>
      </c>
      <c r="I175" s="2">
        <v>11</v>
      </c>
      <c r="J175" s="2">
        <v>21</v>
      </c>
      <c r="K175" s="2">
        <v>34</v>
      </c>
      <c r="L175" s="2">
        <v>32</v>
      </c>
      <c r="M175" s="2">
        <v>2</v>
      </c>
      <c r="N175" s="2">
        <v>338</v>
      </c>
    </row>
    <row r="176" spans="1:14" x14ac:dyDescent="0.35">
      <c r="A176" s="2">
        <v>338744</v>
      </c>
      <c r="B176" s="2" t="s">
        <v>290</v>
      </c>
      <c r="C176" s="2">
        <v>29</v>
      </c>
      <c r="D176" s="2">
        <v>32</v>
      </c>
      <c r="E176" s="2">
        <v>97</v>
      </c>
      <c r="F176" s="2">
        <v>282</v>
      </c>
      <c r="G176" s="2">
        <v>134</v>
      </c>
      <c r="H176" s="2">
        <v>38</v>
      </c>
      <c r="I176" s="2">
        <v>85</v>
      </c>
      <c r="J176" s="2">
        <v>105</v>
      </c>
      <c r="K176" s="2">
        <v>41</v>
      </c>
      <c r="L176" s="2">
        <v>50</v>
      </c>
      <c r="M176" s="2">
        <v>11</v>
      </c>
      <c r="N176" s="2">
        <v>904</v>
      </c>
    </row>
    <row r="177" spans="1:14" x14ac:dyDescent="0.35">
      <c r="A177" s="2">
        <v>338700</v>
      </c>
      <c r="B177" s="2" t="s">
        <v>303</v>
      </c>
      <c r="C177" s="2">
        <v>29</v>
      </c>
      <c r="D177" s="2">
        <v>16</v>
      </c>
      <c r="E177" s="2">
        <v>58</v>
      </c>
      <c r="F177" s="2">
        <v>69</v>
      </c>
      <c r="G177" s="2">
        <v>16</v>
      </c>
      <c r="H177" s="2">
        <v>41</v>
      </c>
      <c r="I177" s="2">
        <v>27</v>
      </c>
      <c r="J177" s="2">
        <v>47</v>
      </c>
      <c r="K177" s="2">
        <v>80</v>
      </c>
      <c r="L177" s="2">
        <v>63</v>
      </c>
      <c r="M177" s="2">
        <v>11</v>
      </c>
      <c r="N177" s="2">
        <v>457</v>
      </c>
    </row>
    <row r="178" spans="1:14" x14ac:dyDescent="0.35">
      <c r="A178" s="2">
        <v>1222406</v>
      </c>
      <c r="B178" s="2" t="s">
        <v>295</v>
      </c>
      <c r="C178" s="2">
        <v>27</v>
      </c>
      <c r="D178" s="2">
        <v>34</v>
      </c>
      <c r="E178" s="2">
        <v>52</v>
      </c>
      <c r="F178" s="2">
        <v>55</v>
      </c>
      <c r="G178" s="2">
        <v>27</v>
      </c>
      <c r="H178" s="2">
        <v>37</v>
      </c>
      <c r="I178" s="2">
        <v>81</v>
      </c>
      <c r="J178" s="2">
        <v>146</v>
      </c>
      <c r="K178" s="2">
        <v>135</v>
      </c>
      <c r="L178" s="2">
        <v>48</v>
      </c>
      <c r="M178" s="2">
        <v>18</v>
      </c>
      <c r="N178" s="2">
        <v>660</v>
      </c>
    </row>
    <row r="179" spans="1:14" x14ac:dyDescent="0.35">
      <c r="A179" s="2">
        <v>338713</v>
      </c>
      <c r="B179" s="2" t="s">
        <v>297</v>
      </c>
      <c r="C179" s="2">
        <v>27</v>
      </c>
      <c r="D179" s="2">
        <v>11</v>
      </c>
      <c r="E179" s="2">
        <v>27</v>
      </c>
      <c r="F179" s="2">
        <v>96</v>
      </c>
      <c r="G179" s="2">
        <v>27</v>
      </c>
      <c r="H179" s="2">
        <v>43</v>
      </c>
      <c r="I179" s="2">
        <v>47</v>
      </c>
      <c r="J179" s="2">
        <v>135</v>
      </c>
      <c r="K179" s="2">
        <v>68</v>
      </c>
      <c r="L179" s="2">
        <v>106</v>
      </c>
      <c r="M179" s="2">
        <v>45</v>
      </c>
      <c r="N179" s="2">
        <v>632</v>
      </c>
    </row>
    <row r="180" spans="1:14" x14ac:dyDescent="0.35">
      <c r="A180" s="2">
        <v>413238</v>
      </c>
      <c r="B180" s="2" t="s">
        <v>301</v>
      </c>
      <c r="C180" s="2">
        <v>25</v>
      </c>
      <c r="D180" s="2">
        <v>57</v>
      </c>
      <c r="E180" s="2">
        <v>57</v>
      </c>
      <c r="F180" s="2">
        <v>69</v>
      </c>
      <c r="G180" s="2">
        <v>50</v>
      </c>
      <c r="H180" s="2">
        <v>45</v>
      </c>
      <c r="I180" s="2">
        <v>102</v>
      </c>
      <c r="J180" s="2">
        <v>18</v>
      </c>
      <c r="K180" s="2">
        <v>22</v>
      </c>
      <c r="L180" s="2">
        <v>6</v>
      </c>
      <c r="M180" s="2">
        <v>15</v>
      </c>
      <c r="N180" s="2">
        <v>466</v>
      </c>
    </row>
    <row r="181" spans="1:14" x14ac:dyDescent="0.35">
      <c r="A181" s="2">
        <v>338726</v>
      </c>
      <c r="B181" s="2" t="s">
        <v>280</v>
      </c>
      <c r="C181" s="2">
        <v>23</v>
      </c>
      <c r="D181" s="2">
        <v>35</v>
      </c>
      <c r="E181" s="2">
        <v>64</v>
      </c>
      <c r="F181" s="2">
        <v>123</v>
      </c>
      <c r="G181" s="2">
        <v>277</v>
      </c>
      <c r="H181" s="2">
        <v>162</v>
      </c>
      <c r="I181" s="2">
        <v>69</v>
      </c>
      <c r="J181" s="2">
        <v>171</v>
      </c>
      <c r="K181" s="2">
        <v>125</v>
      </c>
      <c r="L181" s="2">
        <v>89</v>
      </c>
      <c r="M181" s="2">
        <v>309</v>
      </c>
      <c r="N181" s="2">
        <v>1447</v>
      </c>
    </row>
    <row r="182" spans="1:14" x14ac:dyDescent="0.35">
      <c r="A182" s="2">
        <v>407373</v>
      </c>
      <c r="B182" s="2" t="s">
        <v>49</v>
      </c>
      <c r="C182" s="2">
        <v>23</v>
      </c>
      <c r="D182" s="2">
        <v>134</v>
      </c>
      <c r="E182" s="2">
        <v>202</v>
      </c>
      <c r="F182" s="2">
        <v>169</v>
      </c>
      <c r="G182" s="2">
        <v>105</v>
      </c>
      <c r="H182" s="2">
        <v>78</v>
      </c>
      <c r="I182" s="2">
        <v>40</v>
      </c>
      <c r="J182" s="2">
        <v>158</v>
      </c>
      <c r="K182" s="2">
        <v>83</v>
      </c>
      <c r="L182" s="2">
        <v>56</v>
      </c>
      <c r="M182" s="2">
        <v>76</v>
      </c>
      <c r="N182" s="2">
        <v>1124</v>
      </c>
    </row>
    <row r="183" spans="1:14" x14ac:dyDescent="0.35">
      <c r="A183" s="2">
        <v>404904</v>
      </c>
      <c r="B183" s="2" t="s">
        <v>269</v>
      </c>
      <c r="C183" s="2">
        <v>22</v>
      </c>
      <c r="D183" s="2">
        <v>25</v>
      </c>
      <c r="E183" s="2">
        <v>530</v>
      </c>
      <c r="F183" s="2">
        <v>368</v>
      </c>
      <c r="G183" s="2">
        <v>182</v>
      </c>
      <c r="H183" s="2">
        <v>37</v>
      </c>
      <c r="I183" s="2">
        <v>258</v>
      </c>
      <c r="J183" s="2">
        <v>247</v>
      </c>
      <c r="K183" s="2">
        <v>192</v>
      </c>
      <c r="L183" s="2">
        <v>144</v>
      </c>
      <c r="M183" s="2">
        <v>89</v>
      </c>
      <c r="N183" s="2">
        <v>2094</v>
      </c>
    </row>
    <row r="184" spans="1:14" x14ac:dyDescent="0.35">
      <c r="A184" s="2">
        <v>338703</v>
      </c>
      <c r="B184" s="2" t="s">
        <v>286</v>
      </c>
      <c r="C184" s="2">
        <v>21</v>
      </c>
      <c r="D184" s="2">
        <v>250</v>
      </c>
      <c r="E184" s="2">
        <v>339</v>
      </c>
      <c r="F184" s="2">
        <v>150</v>
      </c>
      <c r="G184" s="2">
        <v>30</v>
      </c>
      <c r="H184" s="2">
        <v>51</v>
      </c>
      <c r="I184" s="2">
        <v>33</v>
      </c>
      <c r="J184" s="2">
        <v>110</v>
      </c>
      <c r="K184" s="2">
        <v>44</v>
      </c>
      <c r="L184" s="2">
        <v>14</v>
      </c>
      <c r="M184" s="2">
        <v>14</v>
      </c>
      <c r="N184" s="2">
        <v>1056</v>
      </c>
    </row>
    <row r="185" spans="1:14" x14ac:dyDescent="0.35">
      <c r="A185" s="2">
        <v>244693</v>
      </c>
      <c r="B185" s="2" t="s">
        <v>291</v>
      </c>
      <c r="C185" s="2">
        <v>15</v>
      </c>
      <c r="D185" s="2">
        <v>52</v>
      </c>
      <c r="E185" s="2">
        <v>30</v>
      </c>
      <c r="F185" s="2">
        <v>88</v>
      </c>
      <c r="G185" s="2">
        <v>42</v>
      </c>
      <c r="H185" s="2">
        <v>116</v>
      </c>
      <c r="I185" s="2">
        <v>69</v>
      </c>
      <c r="J185" s="2">
        <v>217</v>
      </c>
      <c r="K185" s="2">
        <v>176</v>
      </c>
      <c r="L185" s="2">
        <v>85</v>
      </c>
      <c r="M185" s="2">
        <v>6</v>
      </c>
      <c r="N185" s="2">
        <v>896</v>
      </c>
    </row>
    <row r="186" spans="1:14" x14ac:dyDescent="0.35">
      <c r="A186" s="2">
        <v>338704</v>
      </c>
      <c r="B186" s="2" t="s">
        <v>305</v>
      </c>
      <c r="C186" s="2">
        <v>15</v>
      </c>
      <c r="D186" s="2">
        <v>12</v>
      </c>
      <c r="E186" s="2">
        <v>95</v>
      </c>
      <c r="F186" s="2">
        <v>143</v>
      </c>
      <c r="G186" s="2">
        <v>14</v>
      </c>
      <c r="H186" s="2">
        <v>20</v>
      </c>
      <c r="I186" s="2">
        <v>5</v>
      </c>
      <c r="J186" s="2">
        <v>22</v>
      </c>
      <c r="K186" s="2">
        <v>15</v>
      </c>
      <c r="L186" s="2">
        <v>34</v>
      </c>
      <c r="M186" s="2">
        <v>14</v>
      </c>
      <c r="N186" s="2">
        <v>389</v>
      </c>
    </row>
    <row r="187" spans="1:14" x14ac:dyDescent="0.35">
      <c r="A187" s="2">
        <v>326702</v>
      </c>
      <c r="B187" s="2" t="s">
        <v>293</v>
      </c>
      <c r="C187" s="2">
        <v>12</v>
      </c>
      <c r="D187" s="2">
        <v>457</v>
      </c>
      <c r="E187" s="2">
        <v>157</v>
      </c>
      <c r="F187" s="2">
        <v>12</v>
      </c>
      <c r="G187" s="2">
        <v>18</v>
      </c>
      <c r="H187" s="2">
        <v>11</v>
      </c>
      <c r="I187" s="2">
        <v>76</v>
      </c>
      <c r="J187" s="2">
        <v>15</v>
      </c>
      <c r="K187" s="2">
        <v>11</v>
      </c>
      <c r="L187" s="2">
        <v>20</v>
      </c>
      <c r="M187" s="2">
        <v>2</v>
      </c>
      <c r="N187" s="2">
        <v>791</v>
      </c>
    </row>
    <row r="188" spans="1:14" x14ac:dyDescent="0.35">
      <c r="A188" s="2">
        <v>8483</v>
      </c>
      <c r="B188" s="2" t="s">
        <v>298</v>
      </c>
      <c r="C188" s="2">
        <v>10</v>
      </c>
      <c r="D188" s="2">
        <v>57</v>
      </c>
      <c r="E188" s="2">
        <v>389</v>
      </c>
      <c r="F188" s="2">
        <v>103</v>
      </c>
      <c r="G188" s="2">
        <v>52</v>
      </c>
      <c r="H188" s="2">
        <v>2</v>
      </c>
      <c r="I188" s="2">
        <v>1</v>
      </c>
      <c r="J188" s="2">
        <v>1</v>
      </c>
      <c r="K188" s="2"/>
      <c r="L188" s="2">
        <v>6</v>
      </c>
      <c r="M188" s="2">
        <v>1</v>
      </c>
      <c r="N188" s="2">
        <v>622</v>
      </c>
    </row>
    <row r="189" spans="1:14" x14ac:dyDescent="0.35">
      <c r="A189" s="2">
        <v>553884</v>
      </c>
      <c r="B189" s="2" t="s">
        <v>308</v>
      </c>
      <c r="C189" s="2">
        <v>9</v>
      </c>
      <c r="D189" s="2"/>
      <c r="E189" s="2"/>
      <c r="F189" s="2"/>
      <c r="G189" s="2">
        <v>53</v>
      </c>
      <c r="H189" s="2">
        <v>48</v>
      </c>
      <c r="I189" s="2">
        <v>76</v>
      </c>
      <c r="J189" s="2">
        <v>2</v>
      </c>
      <c r="K189" s="2">
        <v>56</v>
      </c>
      <c r="L189" s="2">
        <v>12</v>
      </c>
      <c r="M189" s="2">
        <v>1</v>
      </c>
      <c r="N189" s="2">
        <v>257</v>
      </c>
    </row>
    <row r="190" spans="1:14" x14ac:dyDescent="0.35">
      <c r="A190" s="2">
        <v>441156</v>
      </c>
      <c r="B190" s="2" t="s">
        <v>152</v>
      </c>
      <c r="C190" s="2">
        <v>8</v>
      </c>
      <c r="D190" s="2">
        <v>146</v>
      </c>
      <c r="E190" s="2">
        <v>484</v>
      </c>
      <c r="F190" s="2">
        <v>1154</v>
      </c>
      <c r="G190" s="2">
        <v>572</v>
      </c>
      <c r="H190" s="2">
        <v>180</v>
      </c>
      <c r="I190" s="2">
        <v>82</v>
      </c>
      <c r="J190" s="2">
        <v>32</v>
      </c>
      <c r="K190" s="2">
        <v>43</v>
      </c>
      <c r="L190" s="2">
        <v>69</v>
      </c>
      <c r="M190" s="2">
        <v>27</v>
      </c>
      <c r="N190" s="2">
        <v>2797</v>
      </c>
    </row>
    <row r="191" spans="1:14" x14ac:dyDescent="0.35">
      <c r="A191" s="2">
        <v>433600</v>
      </c>
      <c r="B191" s="2" t="s">
        <v>279</v>
      </c>
      <c r="C191" s="2">
        <v>8</v>
      </c>
      <c r="D191" s="2">
        <v>189</v>
      </c>
      <c r="E191" s="2">
        <v>472</v>
      </c>
      <c r="F191" s="2">
        <v>121</v>
      </c>
      <c r="G191" s="2">
        <v>136</v>
      </c>
      <c r="H191" s="2">
        <v>169</v>
      </c>
      <c r="I191" s="2">
        <v>129</v>
      </c>
      <c r="J191" s="2">
        <v>57</v>
      </c>
      <c r="K191" s="2">
        <v>64</v>
      </c>
      <c r="L191" s="2">
        <v>93</v>
      </c>
      <c r="M191" s="2">
        <v>37</v>
      </c>
      <c r="N191" s="2">
        <v>1475</v>
      </c>
    </row>
    <row r="192" spans="1:14" x14ac:dyDescent="0.35">
      <c r="A192" s="2">
        <v>553886</v>
      </c>
      <c r="B192" s="2" t="s">
        <v>129</v>
      </c>
      <c r="C192" s="2">
        <v>7</v>
      </c>
      <c r="D192" s="2"/>
      <c r="E192" s="2">
        <v>1</v>
      </c>
      <c r="F192" s="2">
        <v>6</v>
      </c>
      <c r="G192" s="2">
        <v>41</v>
      </c>
      <c r="H192" s="2">
        <v>24</v>
      </c>
      <c r="I192" s="2">
        <v>254</v>
      </c>
      <c r="J192" s="2">
        <v>669</v>
      </c>
      <c r="K192" s="2">
        <v>2867</v>
      </c>
      <c r="L192" s="2">
        <v>4297</v>
      </c>
      <c r="M192" s="2">
        <v>525</v>
      </c>
      <c r="N192" s="2">
        <v>8691</v>
      </c>
    </row>
    <row r="193" spans="1:14" x14ac:dyDescent="0.35">
      <c r="A193" s="2">
        <v>553897</v>
      </c>
      <c r="B193" s="2" t="s">
        <v>321</v>
      </c>
      <c r="C193" s="2">
        <v>6</v>
      </c>
      <c r="D193" s="2"/>
      <c r="E193" s="2">
        <v>1</v>
      </c>
      <c r="F193" s="2"/>
      <c r="G193" s="2"/>
      <c r="H193" s="2">
        <v>1</v>
      </c>
      <c r="I193" s="2">
        <v>46</v>
      </c>
      <c r="J193" s="2">
        <v>12</v>
      </c>
      <c r="K193" s="2">
        <v>8</v>
      </c>
      <c r="L193" s="2">
        <v>10</v>
      </c>
      <c r="M193" s="2">
        <v>1</v>
      </c>
      <c r="N193" s="2">
        <v>85</v>
      </c>
    </row>
    <row r="194" spans="1:14" x14ac:dyDescent="0.35">
      <c r="A194" s="2">
        <v>471725</v>
      </c>
      <c r="B194" s="2" t="s">
        <v>239</v>
      </c>
      <c r="C194" s="2">
        <v>5</v>
      </c>
      <c r="D194" s="2">
        <v>16</v>
      </c>
      <c r="E194" s="2">
        <v>10</v>
      </c>
      <c r="F194" s="2">
        <v>14</v>
      </c>
      <c r="G194" s="2">
        <v>17</v>
      </c>
      <c r="H194" s="2">
        <v>16</v>
      </c>
      <c r="I194" s="2">
        <v>18</v>
      </c>
      <c r="J194" s="2">
        <v>61</v>
      </c>
      <c r="K194" s="2">
        <v>1074</v>
      </c>
      <c r="L194" s="2">
        <v>1749</v>
      </c>
      <c r="M194" s="2">
        <v>4541</v>
      </c>
      <c r="N194" s="2">
        <v>7521</v>
      </c>
    </row>
    <row r="195" spans="1:14" x14ac:dyDescent="0.35">
      <c r="A195" s="2">
        <v>245807</v>
      </c>
      <c r="B195" s="2" t="s">
        <v>289</v>
      </c>
      <c r="C195" s="2">
        <v>5</v>
      </c>
      <c r="D195" s="2">
        <v>25</v>
      </c>
      <c r="E195" s="2">
        <v>46</v>
      </c>
      <c r="F195" s="2">
        <v>38</v>
      </c>
      <c r="G195" s="2">
        <v>10</v>
      </c>
      <c r="H195" s="2">
        <v>40</v>
      </c>
      <c r="I195" s="2">
        <v>48</v>
      </c>
      <c r="J195" s="2">
        <v>41</v>
      </c>
      <c r="K195" s="2">
        <v>304</v>
      </c>
      <c r="L195" s="2">
        <v>91</v>
      </c>
      <c r="M195" s="2">
        <v>258</v>
      </c>
      <c r="N195" s="2">
        <v>906</v>
      </c>
    </row>
    <row r="196" spans="1:14" x14ac:dyDescent="0.35">
      <c r="A196" s="2">
        <v>688751</v>
      </c>
      <c r="B196" s="2" t="s">
        <v>159</v>
      </c>
      <c r="C196" s="2">
        <v>4</v>
      </c>
      <c r="D196" s="2">
        <v>4</v>
      </c>
      <c r="E196" s="2">
        <v>55</v>
      </c>
      <c r="F196" s="2">
        <v>5</v>
      </c>
      <c r="G196" s="2"/>
      <c r="H196" s="2">
        <v>2</v>
      </c>
      <c r="I196" s="2"/>
      <c r="J196" s="2">
        <v>34</v>
      </c>
      <c r="K196" s="2">
        <v>242</v>
      </c>
      <c r="L196" s="2">
        <v>47</v>
      </c>
      <c r="M196" s="2"/>
      <c r="N196" s="2">
        <v>393</v>
      </c>
    </row>
    <row r="197" spans="1:14" x14ac:dyDescent="0.35">
      <c r="A197" s="2">
        <v>632108</v>
      </c>
      <c r="B197" s="2" t="s">
        <v>320</v>
      </c>
      <c r="C197" s="2">
        <v>4</v>
      </c>
      <c r="D197" s="2">
        <v>2</v>
      </c>
      <c r="E197" s="2">
        <v>6</v>
      </c>
      <c r="F197" s="2">
        <v>11</v>
      </c>
      <c r="G197" s="2">
        <v>5</v>
      </c>
      <c r="H197" s="2">
        <v>21</v>
      </c>
      <c r="I197" s="2">
        <v>5</v>
      </c>
      <c r="J197" s="2">
        <v>9</v>
      </c>
      <c r="K197" s="2">
        <v>1</v>
      </c>
      <c r="L197" s="2">
        <v>58</v>
      </c>
      <c r="M197" s="2">
        <v>10</v>
      </c>
      <c r="N197" s="2">
        <v>132</v>
      </c>
    </row>
    <row r="198" spans="1:14" x14ac:dyDescent="0.35">
      <c r="A198" s="2">
        <v>632111</v>
      </c>
      <c r="B198" s="2" t="s">
        <v>325</v>
      </c>
      <c r="C198" s="2">
        <v>4</v>
      </c>
      <c r="D198" s="2">
        <v>1</v>
      </c>
      <c r="E198" s="2">
        <v>18</v>
      </c>
      <c r="F198" s="2">
        <v>12</v>
      </c>
      <c r="G198" s="2">
        <v>1</v>
      </c>
      <c r="H198" s="2">
        <v>2</v>
      </c>
      <c r="I198" s="2">
        <v>4</v>
      </c>
      <c r="J198" s="2">
        <v>13</v>
      </c>
      <c r="K198" s="2">
        <v>5</v>
      </c>
      <c r="L198" s="2">
        <v>5</v>
      </c>
      <c r="M198" s="2">
        <v>3</v>
      </c>
      <c r="N198" s="2">
        <v>68</v>
      </c>
    </row>
    <row r="199" spans="1:14" x14ac:dyDescent="0.35">
      <c r="A199" s="2">
        <v>338707</v>
      </c>
      <c r="B199" s="2" t="s">
        <v>309</v>
      </c>
      <c r="C199" s="2">
        <v>3</v>
      </c>
      <c r="D199" s="2"/>
      <c r="E199" s="2"/>
      <c r="F199" s="2"/>
      <c r="G199" s="2"/>
      <c r="H199" s="2"/>
      <c r="I199" s="2"/>
      <c r="J199" s="2">
        <v>3</v>
      </c>
      <c r="K199" s="2">
        <v>25</v>
      </c>
      <c r="L199" s="2">
        <v>224</v>
      </c>
      <c r="M199" s="2"/>
      <c r="N199" s="2">
        <v>255</v>
      </c>
    </row>
    <row r="200" spans="1:14" x14ac:dyDescent="0.35">
      <c r="A200" s="2">
        <v>615240</v>
      </c>
      <c r="B200" s="2" t="s">
        <v>163</v>
      </c>
      <c r="C200" s="2">
        <v>3</v>
      </c>
      <c r="D200" s="2">
        <v>2</v>
      </c>
      <c r="E200" s="2">
        <v>11</v>
      </c>
      <c r="F200" s="2">
        <v>6</v>
      </c>
      <c r="G200" s="2">
        <v>12</v>
      </c>
      <c r="H200" s="2"/>
      <c r="I200" s="2">
        <v>5</v>
      </c>
      <c r="J200" s="2">
        <v>8</v>
      </c>
      <c r="K200" s="2">
        <v>2</v>
      </c>
      <c r="L200" s="2">
        <v>3</v>
      </c>
      <c r="M200" s="2">
        <v>15</v>
      </c>
      <c r="N200" s="2">
        <v>67</v>
      </c>
    </row>
    <row r="201" spans="1:14" x14ac:dyDescent="0.35">
      <c r="A201" s="2">
        <v>553885</v>
      </c>
      <c r="B201" s="2" t="s">
        <v>326</v>
      </c>
      <c r="C201" s="2">
        <v>3</v>
      </c>
      <c r="D201" s="2"/>
      <c r="E201" s="2">
        <v>5</v>
      </c>
      <c r="F201" s="2">
        <v>5</v>
      </c>
      <c r="G201" s="2">
        <v>8</v>
      </c>
      <c r="H201" s="2">
        <v>1</v>
      </c>
      <c r="I201" s="2">
        <v>15</v>
      </c>
      <c r="J201" s="2">
        <v>4</v>
      </c>
      <c r="K201" s="2">
        <v>1</v>
      </c>
      <c r="L201" s="2">
        <v>3</v>
      </c>
      <c r="M201" s="2">
        <v>10</v>
      </c>
      <c r="N201" s="2">
        <v>55</v>
      </c>
    </row>
    <row r="202" spans="1:14" x14ac:dyDescent="0.35">
      <c r="A202" s="2">
        <v>553872</v>
      </c>
      <c r="B202" s="2" t="s">
        <v>285</v>
      </c>
      <c r="C202" s="2">
        <v>2</v>
      </c>
      <c r="D202" s="2"/>
      <c r="E202" s="2"/>
      <c r="F202" s="2">
        <v>1</v>
      </c>
      <c r="G202" s="2">
        <v>2</v>
      </c>
      <c r="H202" s="2"/>
      <c r="I202" s="2">
        <v>45</v>
      </c>
      <c r="J202" s="2">
        <v>129</v>
      </c>
      <c r="K202" s="2">
        <v>115</v>
      </c>
      <c r="L202" s="2">
        <v>665</v>
      </c>
      <c r="M202" s="2">
        <v>121</v>
      </c>
      <c r="N202" s="2">
        <v>1080</v>
      </c>
    </row>
    <row r="203" spans="1:14" x14ac:dyDescent="0.35">
      <c r="A203" s="2">
        <v>553904</v>
      </c>
      <c r="B203" s="2" t="s">
        <v>304</v>
      </c>
      <c r="C203" s="2">
        <v>2</v>
      </c>
      <c r="D203" s="2">
        <v>5</v>
      </c>
      <c r="E203" s="2">
        <v>5</v>
      </c>
      <c r="F203" s="2">
        <v>1</v>
      </c>
      <c r="G203" s="2"/>
      <c r="H203" s="2"/>
      <c r="I203" s="2">
        <v>325</v>
      </c>
      <c r="J203" s="2">
        <v>4</v>
      </c>
      <c r="K203" s="2">
        <v>2</v>
      </c>
      <c r="L203" s="2">
        <v>37</v>
      </c>
      <c r="M203" s="2">
        <v>51</v>
      </c>
      <c r="N203" s="2">
        <v>432</v>
      </c>
    </row>
    <row r="204" spans="1:14" x14ac:dyDescent="0.35">
      <c r="A204" s="2">
        <v>496759</v>
      </c>
      <c r="B204" s="2" t="s">
        <v>327</v>
      </c>
      <c r="C204" s="2">
        <v>2</v>
      </c>
      <c r="D204" s="2"/>
      <c r="E204" s="2">
        <v>13</v>
      </c>
      <c r="F204" s="2">
        <v>5</v>
      </c>
      <c r="G204" s="2">
        <v>1</v>
      </c>
      <c r="H204" s="2">
        <v>2</v>
      </c>
      <c r="I204" s="2"/>
      <c r="J204" s="2">
        <v>1</v>
      </c>
      <c r="K204" s="2">
        <v>11</v>
      </c>
      <c r="L204" s="2">
        <v>9</v>
      </c>
      <c r="M204" s="2">
        <v>4</v>
      </c>
      <c r="N204" s="2">
        <v>48</v>
      </c>
    </row>
    <row r="205" spans="1:14" x14ac:dyDescent="0.35">
      <c r="A205" s="2">
        <v>762793</v>
      </c>
      <c r="B205" s="2" t="s">
        <v>329</v>
      </c>
      <c r="C205" s="2">
        <v>2</v>
      </c>
      <c r="D205" s="2">
        <v>2</v>
      </c>
      <c r="E205" s="2">
        <v>13</v>
      </c>
      <c r="F205" s="2"/>
      <c r="G205" s="2">
        <v>1</v>
      </c>
      <c r="H205" s="2">
        <v>5</v>
      </c>
      <c r="I205" s="2"/>
      <c r="J205" s="2">
        <v>1</v>
      </c>
      <c r="K205" s="2">
        <v>8</v>
      </c>
      <c r="L205" s="2"/>
      <c r="M205" s="2">
        <v>1</v>
      </c>
      <c r="N205" s="2">
        <v>33</v>
      </c>
    </row>
    <row r="206" spans="1:14" x14ac:dyDescent="0.35">
      <c r="A206" s="2">
        <v>426094</v>
      </c>
      <c r="B206" s="2" t="s">
        <v>151</v>
      </c>
      <c r="C206" s="2">
        <v>2</v>
      </c>
      <c r="D206" s="2">
        <v>2</v>
      </c>
      <c r="E206" s="2">
        <v>2</v>
      </c>
      <c r="F206" s="2"/>
      <c r="G206" s="2">
        <v>1</v>
      </c>
      <c r="H206" s="2"/>
      <c r="I206" s="2"/>
      <c r="J206" s="2">
        <v>1</v>
      </c>
      <c r="K206" s="2">
        <v>2</v>
      </c>
      <c r="L206" s="2">
        <v>14</v>
      </c>
      <c r="M206" s="2"/>
      <c r="N206" s="2">
        <v>24</v>
      </c>
    </row>
    <row r="207" spans="1:14" x14ac:dyDescent="0.35">
      <c r="A207" s="2">
        <v>553874</v>
      </c>
      <c r="B207" s="2" t="s">
        <v>130</v>
      </c>
      <c r="C207" s="2">
        <v>1</v>
      </c>
      <c r="D207" s="2">
        <v>5</v>
      </c>
      <c r="E207" s="2">
        <v>19</v>
      </c>
      <c r="F207" s="2">
        <v>24</v>
      </c>
      <c r="G207" s="2">
        <v>2</v>
      </c>
      <c r="H207" s="2">
        <v>22</v>
      </c>
      <c r="I207" s="2">
        <v>664</v>
      </c>
      <c r="J207" s="2">
        <v>2179</v>
      </c>
      <c r="K207" s="2">
        <v>12793</v>
      </c>
      <c r="L207" s="2">
        <v>9885</v>
      </c>
      <c r="M207" s="2">
        <v>317</v>
      </c>
      <c r="N207" s="2">
        <v>25911</v>
      </c>
    </row>
    <row r="208" spans="1:14" x14ac:dyDescent="0.35">
      <c r="A208" s="2">
        <v>553982</v>
      </c>
      <c r="B208" s="2" t="s">
        <v>37</v>
      </c>
      <c r="C208" s="2">
        <v>1</v>
      </c>
      <c r="D208" s="2"/>
      <c r="E208" s="2">
        <v>121</v>
      </c>
      <c r="F208" s="2">
        <v>178</v>
      </c>
      <c r="G208" s="2">
        <v>181</v>
      </c>
      <c r="H208" s="2">
        <v>57</v>
      </c>
      <c r="I208" s="2">
        <v>30</v>
      </c>
      <c r="J208" s="2">
        <v>10</v>
      </c>
      <c r="K208" s="2">
        <v>4</v>
      </c>
      <c r="L208" s="2">
        <v>53</v>
      </c>
      <c r="M208" s="2">
        <v>136</v>
      </c>
      <c r="N208" s="2">
        <v>771</v>
      </c>
    </row>
    <row r="209" spans="1:14" x14ac:dyDescent="0.35">
      <c r="A209" s="2">
        <v>553877</v>
      </c>
      <c r="B209" s="2" t="s">
        <v>311</v>
      </c>
      <c r="C209" s="2">
        <v>1</v>
      </c>
      <c r="D209" s="2"/>
      <c r="E209" s="2"/>
      <c r="F209" s="2">
        <v>8</v>
      </c>
      <c r="G209" s="2">
        <v>23</v>
      </c>
      <c r="H209" s="2">
        <v>3</v>
      </c>
      <c r="I209" s="2">
        <v>25</v>
      </c>
      <c r="J209" s="2">
        <v>25</v>
      </c>
      <c r="K209" s="2">
        <v>105</v>
      </c>
      <c r="L209" s="2">
        <v>7</v>
      </c>
      <c r="M209" s="2">
        <v>14</v>
      </c>
      <c r="N209" s="2">
        <v>211</v>
      </c>
    </row>
    <row r="210" spans="1:14" x14ac:dyDescent="0.35">
      <c r="A210" s="2">
        <v>553870</v>
      </c>
      <c r="B210" s="2" t="s">
        <v>315</v>
      </c>
      <c r="C210" s="2">
        <v>1</v>
      </c>
      <c r="D210" s="2"/>
      <c r="E210" s="2">
        <v>1</v>
      </c>
      <c r="F210" s="2">
        <v>2</v>
      </c>
      <c r="G210" s="2">
        <v>1</v>
      </c>
      <c r="H210" s="2"/>
      <c r="I210" s="2">
        <v>1</v>
      </c>
      <c r="J210" s="2">
        <v>14</v>
      </c>
      <c r="K210" s="2">
        <v>63</v>
      </c>
      <c r="L210" s="2">
        <v>75</v>
      </c>
      <c r="M210" s="2">
        <v>3</v>
      </c>
      <c r="N210" s="2">
        <v>161</v>
      </c>
    </row>
    <row r="211" spans="1:14" x14ac:dyDescent="0.35">
      <c r="A211" s="2">
        <v>586858</v>
      </c>
      <c r="B211" s="2" t="s">
        <v>318</v>
      </c>
      <c r="C211" s="2">
        <v>1</v>
      </c>
      <c r="D211" s="2">
        <v>2</v>
      </c>
      <c r="E211" s="2">
        <v>18</v>
      </c>
      <c r="F211" s="2">
        <v>3</v>
      </c>
      <c r="G211" s="2">
        <v>5</v>
      </c>
      <c r="H211" s="2">
        <v>35</v>
      </c>
      <c r="I211" s="2">
        <v>21</v>
      </c>
      <c r="J211" s="2">
        <v>32</v>
      </c>
      <c r="K211" s="2">
        <v>1</v>
      </c>
      <c r="L211" s="2">
        <v>14</v>
      </c>
      <c r="M211" s="2">
        <v>12</v>
      </c>
      <c r="N211" s="2">
        <v>144</v>
      </c>
    </row>
    <row r="212" spans="1:14" x14ac:dyDescent="0.35">
      <c r="A212" s="2">
        <v>681924</v>
      </c>
      <c r="B212" s="2" t="s">
        <v>322</v>
      </c>
      <c r="C212" s="2">
        <v>1</v>
      </c>
      <c r="D212" s="2">
        <v>2</v>
      </c>
      <c r="E212" s="2">
        <v>6</v>
      </c>
      <c r="F212" s="2">
        <v>3</v>
      </c>
      <c r="G212" s="2">
        <v>1</v>
      </c>
      <c r="H212" s="2"/>
      <c r="I212" s="2">
        <v>3</v>
      </c>
      <c r="J212" s="2">
        <v>13</v>
      </c>
      <c r="K212" s="2">
        <v>18</v>
      </c>
      <c r="L212" s="2">
        <v>22</v>
      </c>
      <c r="M212" s="2">
        <v>4</v>
      </c>
      <c r="N212" s="2">
        <v>73</v>
      </c>
    </row>
    <row r="213" spans="1:14" x14ac:dyDescent="0.35">
      <c r="A213" s="2">
        <v>338732</v>
      </c>
      <c r="B213" s="2" t="s">
        <v>331</v>
      </c>
      <c r="C213" s="2">
        <v>1</v>
      </c>
      <c r="D213" s="2">
        <v>7</v>
      </c>
      <c r="E213" s="2">
        <v>5</v>
      </c>
      <c r="F213" s="2">
        <v>5</v>
      </c>
      <c r="G213" s="2">
        <v>1</v>
      </c>
      <c r="H213" s="2"/>
      <c r="I213" s="2"/>
      <c r="J213" s="2"/>
      <c r="K213" s="2">
        <v>1</v>
      </c>
      <c r="L213" s="2">
        <v>3</v>
      </c>
      <c r="M213" s="2">
        <v>3</v>
      </c>
      <c r="N213" s="2">
        <v>26</v>
      </c>
    </row>
    <row r="214" spans="1:14" x14ac:dyDescent="0.35">
      <c r="A214" s="2">
        <v>69913</v>
      </c>
      <c r="B214" s="2" t="s">
        <v>123</v>
      </c>
      <c r="C214" s="2"/>
      <c r="D214" s="2"/>
      <c r="E214" s="2"/>
      <c r="F214" s="2"/>
      <c r="G214" s="2"/>
      <c r="H214" s="2">
        <v>2</v>
      </c>
      <c r="I214" s="2">
        <v>18218</v>
      </c>
      <c r="J214" s="2">
        <v>45281</v>
      </c>
      <c r="K214" s="2">
        <v>1596</v>
      </c>
      <c r="L214" s="2">
        <v>2714</v>
      </c>
      <c r="M214" s="2">
        <v>241</v>
      </c>
      <c r="N214" s="2">
        <v>68052</v>
      </c>
    </row>
    <row r="215" spans="1:14" x14ac:dyDescent="0.35">
      <c r="A215" s="2">
        <v>98972</v>
      </c>
      <c r="B215" s="2" t="s">
        <v>128</v>
      </c>
      <c r="C215" s="2"/>
      <c r="D215" s="2"/>
      <c r="E215" s="2"/>
      <c r="F215" s="2"/>
      <c r="G215" s="2"/>
      <c r="H215" s="2"/>
      <c r="I215" s="2">
        <v>1234</v>
      </c>
      <c r="J215" s="2">
        <v>2052</v>
      </c>
      <c r="K215" s="2">
        <v>13885</v>
      </c>
      <c r="L215" s="2">
        <v>1324</v>
      </c>
      <c r="M215" s="2">
        <v>357</v>
      </c>
      <c r="N215" s="2">
        <v>18852</v>
      </c>
    </row>
    <row r="216" spans="1:14" x14ac:dyDescent="0.35">
      <c r="A216" s="2">
        <v>553905</v>
      </c>
      <c r="B216" s="2" t="s">
        <v>244</v>
      </c>
      <c r="C216" s="2"/>
      <c r="D216" s="2">
        <v>1</v>
      </c>
      <c r="E216" s="2"/>
      <c r="F216" s="2"/>
      <c r="G216" s="2"/>
      <c r="H216" s="2"/>
      <c r="I216" s="2">
        <v>5901</v>
      </c>
      <c r="J216" s="2">
        <v>27</v>
      </c>
      <c r="K216" s="2">
        <v>4</v>
      </c>
      <c r="L216" s="2">
        <v>1</v>
      </c>
      <c r="M216" s="2">
        <v>2</v>
      </c>
      <c r="N216" s="2">
        <v>5936</v>
      </c>
    </row>
    <row r="217" spans="1:14" x14ac:dyDescent="0.35">
      <c r="A217" s="2">
        <v>617190</v>
      </c>
      <c r="B217" s="2" t="s">
        <v>158</v>
      </c>
      <c r="C217" s="2"/>
      <c r="D217" s="2"/>
      <c r="E217" s="2"/>
      <c r="F217" s="2">
        <v>227</v>
      </c>
      <c r="G217" s="2">
        <v>1087</v>
      </c>
      <c r="H217" s="2">
        <v>725</v>
      </c>
      <c r="I217" s="2">
        <v>963</v>
      </c>
      <c r="J217" s="2">
        <v>966</v>
      </c>
      <c r="K217" s="2">
        <v>593</v>
      </c>
      <c r="L217" s="2">
        <v>363</v>
      </c>
      <c r="M217" s="2">
        <v>179</v>
      </c>
      <c r="N217" s="2">
        <v>5103</v>
      </c>
    </row>
    <row r="218" spans="1:14" x14ac:dyDescent="0.35">
      <c r="A218" s="2">
        <v>443389</v>
      </c>
      <c r="B218" s="2" t="s">
        <v>260</v>
      </c>
      <c r="C218" s="2"/>
      <c r="D218" s="2">
        <v>693</v>
      </c>
      <c r="E218" s="2">
        <v>1004</v>
      </c>
      <c r="F218" s="2">
        <v>813</v>
      </c>
      <c r="G218" s="2">
        <v>610</v>
      </c>
      <c r="H218" s="2">
        <v>103</v>
      </c>
      <c r="I218" s="2">
        <v>69</v>
      </c>
      <c r="J218" s="2">
        <v>177</v>
      </c>
      <c r="K218" s="2">
        <v>6</v>
      </c>
      <c r="L218" s="2">
        <v>15</v>
      </c>
      <c r="M218" s="2">
        <v>3</v>
      </c>
      <c r="N218" s="2">
        <v>3493</v>
      </c>
    </row>
    <row r="219" spans="1:14" x14ac:dyDescent="0.35">
      <c r="A219" s="2">
        <v>553946</v>
      </c>
      <c r="B219" s="2" t="s">
        <v>126</v>
      </c>
      <c r="C219" s="2"/>
      <c r="D219" s="2"/>
      <c r="E219" s="2"/>
      <c r="F219" s="2"/>
      <c r="G219" s="2"/>
      <c r="H219" s="2"/>
      <c r="I219" s="2">
        <v>192</v>
      </c>
      <c r="J219" s="2">
        <v>701</v>
      </c>
      <c r="K219" s="2">
        <v>1605</v>
      </c>
      <c r="L219" s="2">
        <v>894</v>
      </c>
      <c r="M219" s="2">
        <v>80</v>
      </c>
      <c r="N219" s="2">
        <v>3472</v>
      </c>
    </row>
    <row r="220" spans="1:14" x14ac:dyDescent="0.35">
      <c r="A220" s="2">
        <v>553894</v>
      </c>
      <c r="B220" s="2" t="s">
        <v>264</v>
      </c>
      <c r="C220" s="2"/>
      <c r="D220" s="2">
        <v>3</v>
      </c>
      <c r="E220" s="2">
        <v>36</v>
      </c>
      <c r="F220" s="2">
        <v>31</v>
      </c>
      <c r="G220" s="2">
        <v>11</v>
      </c>
      <c r="H220" s="2">
        <v>73</v>
      </c>
      <c r="I220" s="2">
        <v>284</v>
      </c>
      <c r="J220" s="2">
        <v>147</v>
      </c>
      <c r="K220" s="2">
        <v>1662</v>
      </c>
      <c r="L220" s="2">
        <v>591</v>
      </c>
      <c r="M220" s="2">
        <v>30</v>
      </c>
      <c r="N220" s="2">
        <v>2868</v>
      </c>
    </row>
    <row r="221" spans="1:14" x14ac:dyDescent="0.35">
      <c r="A221" s="2">
        <v>587223</v>
      </c>
      <c r="B221" s="2" t="s">
        <v>270</v>
      </c>
      <c r="C221" s="2"/>
      <c r="D221" s="2"/>
      <c r="E221" s="2">
        <v>342</v>
      </c>
      <c r="F221" s="2">
        <v>504</v>
      </c>
      <c r="G221" s="2">
        <v>398</v>
      </c>
      <c r="H221" s="2">
        <v>358</v>
      </c>
      <c r="I221" s="2">
        <v>180</v>
      </c>
      <c r="J221" s="2">
        <v>161</v>
      </c>
      <c r="K221" s="2">
        <v>14</v>
      </c>
      <c r="L221" s="2">
        <v>24</v>
      </c>
      <c r="M221" s="2">
        <v>29</v>
      </c>
      <c r="N221" s="2">
        <v>2010</v>
      </c>
    </row>
    <row r="222" spans="1:14" x14ac:dyDescent="0.35">
      <c r="A222" s="2">
        <v>587469</v>
      </c>
      <c r="B222" s="2" t="s">
        <v>153</v>
      </c>
      <c r="C222" s="2"/>
      <c r="D222" s="2"/>
      <c r="E222" s="2"/>
      <c r="F222" s="2"/>
      <c r="G222" s="2"/>
      <c r="H222" s="2"/>
      <c r="I222" s="2"/>
      <c r="J222" s="2"/>
      <c r="K222" s="2">
        <v>416</v>
      </c>
      <c r="L222" s="2">
        <v>1416</v>
      </c>
      <c r="M222" s="2">
        <v>91</v>
      </c>
      <c r="N222" s="2">
        <v>1923</v>
      </c>
    </row>
    <row r="223" spans="1:14" x14ac:dyDescent="0.35">
      <c r="A223" s="2">
        <v>338709</v>
      </c>
      <c r="B223" s="2" t="s">
        <v>273</v>
      </c>
      <c r="C223" s="2"/>
      <c r="D223" s="2">
        <v>227</v>
      </c>
      <c r="E223" s="2">
        <v>515</v>
      </c>
      <c r="F223" s="2">
        <v>1019</v>
      </c>
      <c r="G223" s="2"/>
      <c r="H223" s="2"/>
      <c r="I223" s="2">
        <v>2</v>
      </c>
      <c r="J223" s="2"/>
      <c r="K223" s="2">
        <v>1</v>
      </c>
      <c r="L223" s="2"/>
      <c r="M223" s="2"/>
      <c r="N223" s="2">
        <v>1764</v>
      </c>
    </row>
    <row r="224" spans="1:14" x14ac:dyDescent="0.35">
      <c r="A224" s="2">
        <v>457779</v>
      </c>
      <c r="B224" s="2" t="s">
        <v>165</v>
      </c>
      <c r="C224" s="2"/>
      <c r="D224" s="2"/>
      <c r="E224" s="2"/>
      <c r="F224" s="2"/>
      <c r="G224" s="2"/>
      <c r="H224" s="2"/>
      <c r="I224" s="2"/>
      <c r="J224" s="2"/>
      <c r="K224" s="2">
        <v>826</v>
      </c>
      <c r="L224" s="2">
        <v>355</v>
      </c>
      <c r="M224" s="2">
        <v>141</v>
      </c>
      <c r="N224" s="2">
        <v>1322</v>
      </c>
    </row>
    <row r="225" spans="1:14" x14ac:dyDescent="0.35">
      <c r="A225" s="2">
        <v>385894</v>
      </c>
      <c r="B225" s="2" t="s">
        <v>287</v>
      </c>
      <c r="C225" s="2"/>
      <c r="D225" s="2"/>
      <c r="E225" s="2">
        <v>51</v>
      </c>
      <c r="F225" s="2">
        <v>288</v>
      </c>
      <c r="G225" s="2">
        <v>407</v>
      </c>
      <c r="H225" s="2">
        <v>40</v>
      </c>
      <c r="I225" s="2">
        <v>64</v>
      </c>
      <c r="J225" s="2">
        <v>53</v>
      </c>
      <c r="K225" s="2">
        <v>49</v>
      </c>
      <c r="L225" s="2">
        <v>32</v>
      </c>
      <c r="M225" s="2">
        <v>72</v>
      </c>
      <c r="N225" s="2">
        <v>1056</v>
      </c>
    </row>
    <row r="226" spans="1:14" x14ac:dyDescent="0.35">
      <c r="A226" s="2">
        <v>553911</v>
      </c>
      <c r="B226" s="2" t="s">
        <v>292</v>
      </c>
      <c r="C226" s="2"/>
      <c r="D226" s="2"/>
      <c r="E226" s="2"/>
      <c r="F226" s="2">
        <v>71</v>
      </c>
      <c r="G226" s="2">
        <v>2</v>
      </c>
      <c r="H226" s="2">
        <v>2</v>
      </c>
      <c r="I226" s="2">
        <v>336</v>
      </c>
      <c r="J226" s="2">
        <v>89</v>
      </c>
      <c r="K226" s="2">
        <v>158</v>
      </c>
      <c r="L226" s="2">
        <v>106</v>
      </c>
      <c r="M226" s="2">
        <v>31</v>
      </c>
      <c r="N226" s="2">
        <v>795</v>
      </c>
    </row>
    <row r="227" spans="1:14" x14ac:dyDescent="0.35">
      <c r="A227" s="2">
        <v>553865</v>
      </c>
      <c r="B227" s="2" t="s">
        <v>296</v>
      </c>
      <c r="C227" s="2"/>
      <c r="D227" s="2"/>
      <c r="E227" s="2">
        <v>5</v>
      </c>
      <c r="F227" s="2">
        <v>8</v>
      </c>
      <c r="G227" s="2">
        <v>3</v>
      </c>
      <c r="H227" s="2">
        <v>4</v>
      </c>
      <c r="I227" s="2">
        <v>11</v>
      </c>
      <c r="J227" s="2">
        <v>18</v>
      </c>
      <c r="K227" s="2">
        <v>171</v>
      </c>
      <c r="L227" s="2">
        <v>392</v>
      </c>
      <c r="M227" s="2">
        <v>24</v>
      </c>
      <c r="N227" s="2">
        <v>636</v>
      </c>
    </row>
    <row r="228" spans="1:14" x14ac:dyDescent="0.35">
      <c r="A228" s="2">
        <v>553889</v>
      </c>
      <c r="B228" s="2" t="s">
        <v>131</v>
      </c>
      <c r="C228" s="2"/>
      <c r="D228" s="2"/>
      <c r="E228" s="2"/>
      <c r="F228" s="2"/>
      <c r="G228" s="2"/>
      <c r="H228" s="2"/>
      <c r="I228" s="2">
        <v>21</v>
      </c>
      <c r="J228" s="2">
        <v>163</v>
      </c>
      <c r="K228" s="2">
        <v>123</v>
      </c>
      <c r="L228" s="2">
        <v>212</v>
      </c>
      <c r="M228" s="2">
        <v>3</v>
      </c>
      <c r="N228" s="2">
        <v>522</v>
      </c>
    </row>
    <row r="229" spans="1:14" x14ac:dyDescent="0.35">
      <c r="A229" s="2">
        <v>338694</v>
      </c>
      <c r="B229" s="2" t="s">
        <v>310</v>
      </c>
      <c r="C229" s="2"/>
      <c r="D229" s="2">
        <v>21</v>
      </c>
      <c r="E229" s="2">
        <v>13</v>
      </c>
      <c r="F229" s="2">
        <v>14</v>
      </c>
      <c r="G229" s="2">
        <v>7</v>
      </c>
      <c r="H229" s="2"/>
      <c r="I229" s="2">
        <v>4</v>
      </c>
      <c r="J229" s="2">
        <v>62</v>
      </c>
      <c r="K229" s="2">
        <v>78</v>
      </c>
      <c r="L229" s="2">
        <v>47</v>
      </c>
      <c r="M229" s="2">
        <v>3</v>
      </c>
      <c r="N229" s="2">
        <v>249</v>
      </c>
    </row>
    <row r="230" spans="1:14" x14ac:dyDescent="0.35">
      <c r="A230" s="2">
        <v>462869</v>
      </c>
      <c r="B230" s="2" t="s">
        <v>312</v>
      </c>
      <c r="C230" s="2"/>
      <c r="D230" s="2"/>
      <c r="E230" s="2">
        <v>21</v>
      </c>
      <c r="F230" s="2">
        <v>28</v>
      </c>
      <c r="G230" s="2">
        <v>6</v>
      </c>
      <c r="H230" s="2">
        <v>4</v>
      </c>
      <c r="I230" s="2">
        <v>75</v>
      </c>
      <c r="J230" s="2">
        <v>31</v>
      </c>
      <c r="K230" s="2">
        <v>17</v>
      </c>
      <c r="L230" s="2">
        <v>4</v>
      </c>
      <c r="M230" s="2">
        <v>7</v>
      </c>
      <c r="N230" s="2">
        <v>193</v>
      </c>
    </row>
    <row r="231" spans="1:14" x14ac:dyDescent="0.35">
      <c r="A231" s="2">
        <v>553893</v>
      </c>
      <c r="B231" s="2" t="s">
        <v>313</v>
      </c>
      <c r="C231" s="2"/>
      <c r="D231" s="2"/>
      <c r="E231" s="2"/>
      <c r="F231" s="2"/>
      <c r="G231" s="2"/>
      <c r="H231" s="2"/>
      <c r="I231" s="2">
        <v>5</v>
      </c>
      <c r="J231" s="2">
        <v>55</v>
      </c>
      <c r="K231" s="2">
        <v>120</v>
      </c>
      <c r="L231" s="2">
        <v>5</v>
      </c>
      <c r="M231" s="2">
        <v>2</v>
      </c>
      <c r="N231" s="2">
        <v>187</v>
      </c>
    </row>
    <row r="232" spans="1:14" x14ac:dyDescent="0.35">
      <c r="A232" s="2">
        <v>1475249</v>
      </c>
      <c r="B232" s="2" t="s">
        <v>314</v>
      </c>
      <c r="C232" s="2"/>
      <c r="D232" s="2">
        <v>10</v>
      </c>
      <c r="E232" s="2">
        <v>35</v>
      </c>
      <c r="F232" s="2">
        <v>57</v>
      </c>
      <c r="G232" s="2">
        <v>43</v>
      </c>
      <c r="H232" s="2">
        <v>4</v>
      </c>
      <c r="I232" s="2">
        <v>2</v>
      </c>
      <c r="J232" s="2">
        <v>15</v>
      </c>
      <c r="K232" s="2">
        <v>8</v>
      </c>
      <c r="L232" s="2">
        <v>3</v>
      </c>
      <c r="M232" s="2">
        <v>1</v>
      </c>
      <c r="N232" s="2">
        <v>178</v>
      </c>
    </row>
    <row r="233" spans="1:14" x14ac:dyDescent="0.35">
      <c r="A233" s="2">
        <v>553873</v>
      </c>
      <c r="B233" s="2" t="s">
        <v>316</v>
      </c>
      <c r="C233" s="2"/>
      <c r="D233" s="2"/>
      <c r="E233" s="2">
        <v>1</v>
      </c>
      <c r="F233" s="2">
        <v>1</v>
      </c>
      <c r="G233" s="2">
        <v>1</v>
      </c>
      <c r="H233" s="2"/>
      <c r="I233" s="2">
        <v>27</v>
      </c>
      <c r="J233" s="2">
        <v>53</v>
      </c>
      <c r="K233" s="2">
        <v>46</v>
      </c>
      <c r="L233" s="2">
        <v>14</v>
      </c>
      <c r="M233" s="2">
        <v>7</v>
      </c>
      <c r="N233" s="2">
        <v>150</v>
      </c>
    </row>
    <row r="234" spans="1:14" x14ac:dyDescent="0.35">
      <c r="A234" s="2">
        <v>553903</v>
      </c>
      <c r="B234" s="2" t="s">
        <v>317</v>
      </c>
      <c r="C234" s="2"/>
      <c r="D234" s="2">
        <v>2</v>
      </c>
      <c r="E234" s="2">
        <v>6</v>
      </c>
      <c r="F234" s="2">
        <v>2</v>
      </c>
      <c r="G234" s="2">
        <v>30</v>
      </c>
      <c r="H234" s="2">
        <v>8</v>
      </c>
      <c r="I234" s="2">
        <v>25</v>
      </c>
      <c r="J234" s="2">
        <v>61</v>
      </c>
      <c r="K234" s="2">
        <v>6</v>
      </c>
      <c r="L234" s="2">
        <v>5</v>
      </c>
      <c r="M234" s="2">
        <v>2</v>
      </c>
      <c r="N234" s="2">
        <v>147</v>
      </c>
    </row>
    <row r="235" spans="1:14" x14ac:dyDescent="0.35">
      <c r="A235" s="2">
        <v>553970</v>
      </c>
      <c r="B235" s="2" t="s">
        <v>124</v>
      </c>
      <c r="C235" s="2"/>
      <c r="D235" s="2"/>
      <c r="E235" s="2"/>
      <c r="F235" s="2"/>
      <c r="G235" s="2"/>
      <c r="H235" s="2"/>
      <c r="I235" s="2">
        <v>115</v>
      </c>
      <c r="J235" s="2">
        <v>5</v>
      </c>
      <c r="K235" s="2">
        <v>24</v>
      </c>
      <c r="L235" s="2">
        <v>1</v>
      </c>
      <c r="M235" s="2"/>
      <c r="N235" s="2">
        <v>145</v>
      </c>
    </row>
    <row r="236" spans="1:14" x14ac:dyDescent="0.35">
      <c r="A236" s="2">
        <v>553969</v>
      </c>
      <c r="B236" s="2" t="s">
        <v>24</v>
      </c>
      <c r="C236" s="2"/>
      <c r="D236" s="2"/>
      <c r="E236" s="2"/>
      <c r="F236" s="2"/>
      <c r="G236" s="2"/>
      <c r="H236" s="2"/>
      <c r="I236" s="2"/>
      <c r="J236" s="2">
        <v>86</v>
      </c>
      <c r="K236" s="2">
        <v>2</v>
      </c>
      <c r="L236" s="2"/>
      <c r="M236" s="2"/>
      <c r="N236" s="2">
        <v>88</v>
      </c>
    </row>
    <row r="237" spans="1:14" x14ac:dyDescent="0.35">
      <c r="A237" s="2">
        <v>338716</v>
      </c>
      <c r="B237" s="2" t="s">
        <v>324</v>
      </c>
      <c r="C237" s="2"/>
      <c r="D237" s="2">
        <v>3</v>
      </c>
      <c r="E237" s="2">
        <v>4</v>
      </c>
      <c r="F237" s="2">
        <v>1</v>
      </c>
      <c r="G237" s="2">
        <v>7</v>
      </c>
      <c r="H237" s="2">
        <v>3</v>
      </c>
      <c r="I237" s="2">
        <v>10</v>
      </c>
      <c r="J237" s="2">
        <v>3</v>
      </c>
      <c r="K237" s="2">
        <v>18</v>
      </c>
      <c r="L237" s="2">
        <v>13</v>
      </c>
      <c r="M237" s="2">
        <v>6</v>
      </c>
      <c r="N237" s="2">
        <v>68</v>
      </c>
    </row>
    <row r="238" spans="1:14" x14ac:dyDescent="0.35">
      <c r="A238" s="2">
        <v>553926</v>
      </c>
      <c r="B238" s="2" t="s">
        <v>328</v>
      </c>
      <c r="C238" s="2"/>
      <c r="D238" s="2"/>
      <c r="E238" s="2"/>
      <c r="F238" s="2"/>
      <c r="G238" s="2"/>
      <c r="H238" s="2"/>
      <c r="I238" s="2"/>
      <c r="J238" s="2"/>
      <c r="K238" s="2">
        <v>39</v>
      </c>
      <c r="L238" s="2">
        <v>3</v>
      </c>
      <c r="M238" s="2">
        <v>2</v>
      </c>
      <c r="N238" s="2">
        <v>44</v>
      </c>
    </row>
    <row r="239" spans="1:14" x14ac:dyDescent="0.35">
      <c r="A239" s="2">
        <v>553924</v>
      </c>
      <c r="B239" s="2" t="s">
        <v>330</v>
      </c>
      <c r="C239" s="2"/>
      <c r="D239" s="2"/>
      <c r="E239" s="2"/>
      <c r="F239" s="2"/>
      <c r="G239" s="2">
        <v>3</v>
      </c>
      <c r="H239" s="2">
        <v>2</v>
      </c>
      <c r="I239" s="2">
        <v>13</v>
      </c>
      <c r="J239" s="2">
        <v>5</v>
      </c>
      <c r="K239" s="2">
        <v>1</v>
      </c>
      <c r="L239" s="2">
        <v>4</v>
      </c>
      <c r="M239" s="2">
        <v>2</v>
      </c>
      <c r="N239" s="2">
        <v>30</v>
      </c>
    </row>
    <row r="240" spans="1:14" x14ac:dyDescent="0.35">
      <c r="A240" s="2">
        <v>566021</v>
      </c>
      <c r="B240" s="2" t="s">
        <v>332</v>
      </c>
      <c r="C240" s="2"/>
      <c r="D240" s="2">
        <v>2</v>
      </c>
      <c r="E240" s="2">
        <v>5</v>
      </c>
      <c r="F240" s="2">
        <v>3</v>
      </c>
      <c r="G240" s="2">
        <v>3</v>
      </c>
      <c r="H240" s="2"/>
      <c r="I240" s="2">
        <v>1</v>
      </c>
      <c r="J240" s="2">
        <v>6</v>
      </c>
      <c r="K240" s="2">
        <v>3</v>
      </c>
      <c r="L240" s="2">
        <v>1</v>
      </c>
      <c r="M240" s="2"/>
      <c r="N240" s="2">
        <v>24</v>
      </c>
    </row>
    <row r="241" spans="1:14" x14ac:dyDescent="0.35">
      <c r="A241" s="2">
        <v>338677</v>
      </c>
      <c r="B241" s="2" t="s">
        <v>114</v>
      </c>
      <c r="C241" s="2"/>
      <c r="D241" s="2"/>
      <c r="E241" s="2"/>
      <c r="F241" s="2">
        <v>7</v>
      </c>
      <c r="G241" s="2"/>
      <c r="H241" s="2"/>
      <c r="I241" s="2">
        <v>5</v>
      </c>
      <c r="J241" s="2"/>
      <c r="K241" s="2">
        <v>1</v>
      </c>
      <c r="L241" s="2">
        <v>7</v>
      </c>
      <c r="M241" s="2">
        <v>3</v>
      </c>
      <c r="N241" s="2">
        <v>23</v>
      </c>
    </row>
    <row r="242" spans="1:14" x14ac:dyDescent="0.35">
      <c r="A242" s="2">
        <v>553951</v>
      </c>
      <c r="B242" s="2" t="s">
        <v>333</v>
      </c>
      <c r="C242" s="2"/>
      <c r="D242" s="2"/>
      <c r="E242" s="2"/>
      <c r="F242" s="2"/>
      <c r="G242" s="2"/>
      <c r="H242" s="2"/>
      <c r="I242" s="2">
        <v>17</v>
      </c>
      <c r="J242" s="2"/>
      <c r="K242" s="2"/>
      <c r="L242" s="2"/>
      <c r="M242" s="2"/>
      <c r="N242" s="2">
        <v>17</v>
      </c>
    </row>
    <row r="243" spans="1:14" x14ac:dyDescent="0.35">
      <c r="A243" s="2">
        <v>338725</v>
      </c>
      <c r="B243" s="2" t="s">
        <v>334</v>
      </c>
      <c r="C243" s="2"/>
      <c r="D243" s="2"/>
      <c r="E243" s="2"/>
      <c r="F243" s="2"/>
      <c r="G243" s="2">
        <v>9</v>
      </c>
      <c r="H243" s="2">
        <v>4</v>
      </c>
      <c r="I243" s="2">
        <v>3</v>
      </c>
      <c r="J243" s="2"/>
      <c r="K243" s="2"/>
      <c r="L243" s="2"/>
      <c r="M243" s="2"/>
      <c r="N243" s="2">
        <v>16</v>
      </c>
    </row>
    <row r="244" spans="1:14" x14ac:dyDescent="0.35">
      <c r="A244" s="2">
        <v>553895</v>
      </c>
      <c r="B244" s="2" t="s">
        <v>335</v>
      </c>
      <c r="C244" s="2"/>
      <c r="D244" s="2"/>
      <c r="E244" s="2"/>
      <c r="F244" s="2">
        <v>3</v>
      </c>
      <c r="G244" s="2"/>
      <c r="H244" s="2"/>
      <c r="I244" s="2">
        <v>5</v>
      </c>
      <c r="J244" s="2">
        <v>2</v>
      </c>
      <c r="K244" s="2">
        <v>3</v>
      </c>
      <c r="L244" s="2">
        <v>3</v>
      </c>
      <c r="M244" s="2"/>
      <c r="N244" s="2">
        <v>16</v>
      </c>
    </row>
    <row r="245" spans="1:14" x14ac:dyDescent="0.35">
      <c r="A245" s="2">
        <v>632107</v>
      </c>
      <c r="B245" s="2" t="s">
        <v>336</v>
      </c>
      <c r="C245" s="2"/>
      <c r="D245" s="2"/>
      <c r="E245" s="2"/>
      <c r="F245" s="2"/>
      <c r="G245" s="2"/>
      <c r="H245" s="2">
        <v>1</v>
      </c>
      <c r="I245" s="2">
        <v>4</v>
      </c>
      <c r="J245" s="2"/>
      <c r="K245" s="2"/>
      <c r="L245" s="2">
        <v>4</v>
      </c>
      <c r="M245" s="2">
        <v>3</v>
      </c>
      <c r="N245" s="2">
        <v>12</v>
      </c>
    </row>
    <row r="246" spans="1:14" x14ac:dyDescent="0.35">
      <c r="A246" s="2">
        <v>362380</v>
      </c>
      <c r="B246" s="2" t="s">
        <v>337</v>
      </c>
      <c r="C246" s="2"/>
      <c r="D246" s="2">
        <v>1</v>
      </c>
      <c r="E246" s="2"/>
      <c r="F246" s="2">
        <v>1</v>
      </c>
      <c r="G246" s="2">
        <v>3</v>
      </c>
      <c r="H246" s="2"/>
      <c r="I246" s="2">
        <v>1</v>
      </c>
      <c r="J246" s="2"/>
      <c r="K246" s="2">
        <v>1</v>
      </c>
      <c r="L246" s="2"/>
      <c r="M246" s="2">
        <v>2</v>
      </c>
      <c r="N246" s="2">
        <v>9</v>
      </c>
    </row>
    <row r="247" spans="1:14" x14ac:dyDescent="0.35">
      <c r="A247" s="2">
        <v>632109</v>
      </c>
      <c r="B247" s="2" t="s">
        <v>338</v>
      </c>
      <c r="C247" s="2"/>
      <c r="D247" s="2"/>
      <c r="E247" s="2"/>
      <c r="F247" s="2">
        <v>4</v>
      </c>
      <c r="G247" s="2">
        <v>4</v>
      </c>
      <c r="H247" s="2"/>
      <c r="I247" s="2"/>
      <c r="J247" s="2"/>
      <c r="K247" s="2"/>
      <c r="L247" s="2">
        <v>1</v>
      </c>
      <c r="M247" s="2"/>
      <c r="N247" s="2">
        <v>9</v>
      </c>
    </row>
    <row r="248" spans="1:14" x14ac:dyDescent="0.35">
      <c r="A248" s="2">
        <v>631403</v>
      </c>
      <c r="B248" s="2" t="s">
        <v>339</v>
      </c>
      <c r="C248" s="2"/>
      <c r="D248" s="2"/>
      <c r="E248" s="2">
        <v>2</v>
      </c>
      <c r="F248" s="2">
        <v>3</v>
      </c>
      <c r="G248" s="2">
        <v>1</v>
      </c>
      <c r="H248" s="2">
        <v>1</v>
      </c>
      <c r="I248" s="2"/>
      <c r="J248" s="2"/>
      <c r="K248" s="2"/>
      <c r="L248" s="2"/>
      <c r="M248" s="2">
        <v>1</v>
      </c>
      <c r="N248" s="2">
        <v>8</v>
      </c>
    </row>
    <row r="249" spans="1:14" x14ac:dyDescent="0.35">
      <c r="A249" s="2">
        <v>643724</v>
      </c>
      <c r="B249" s="2" t="s">
        <v>340</v>
      </c>
      <c r="C249" s="2"/>
      <c r="D249" s="2"/>
      <c r="E249" s="2"/>
      <c r="F249" s="2"/>
      <c r="G249" s="2"/>
      <c r="H249" s="2"/>
      <c r="I249" s="2"/>
      <c r="J249" s="2"/>
      <c r="K249" s="2"/>
      <c r="L249" s="2">
        <v>6</v>
      </c>
      <c r="M249" s="2">
        <v>2</v>
      </c>
      <c r="N249" s="2">
        <v>8</v>
      </c>
    </row>
    <row r="250" spans="1:14" x14ac:dyDescent="0.35">
      <c r="A250" s="2">
        <v>553928</v>
      </c>
      <c r="B250" s="2" t="s">
        <v>341</v>
      </c>
      <c r="C250" s="2"/>
      <c r="D250" s="2"/>
      <c r="E250" s="2"/>
      <c r="F250" s="2"/>
      <c r="G250" s="2"/>
      <c r="H250" s="2"/>
      <c r="I250" s="2"/>
      <c r="J250" s="2">
        <v>4</v>
      </c>
      <c r="K250" s="2">
        <v>1</v>
      </c>
      <c r="L250" s="2"/>
      <c r="M250" s="2"/>
      <c r="N250" s="2">
        <v>5</v>
      </c>
    </row>
    <row r="251" spans="1:14" x14ac:dyDescent="0.35">
      <c r="A251" s="2">
        <v>878694</v>
      </c>
      <c r="B251" s="2" t="s">
        <v>342</v>
      </c>
      <c r="C251" s="2"/>
      <c r="D251" s="2"/>
      <c r="E251" s="2"/>
      <c r="F251" s="2"/>
      <c r="G251" s="2"/>
      <c r="H251" s="2"/>
      <c r="I251" s="2"/>
      <c r="J251" s="2"/>
      <c r="K251" s="2"/>
      <c r="L251" s="2">
        <v>5</v>
      </c>
      <c r="M251" s="2"/>
      <c r="N251" s="2">
        <v>5</v>
      </c>
    </row>
    <row r="252" spans="1:14" x14ac:dyDescent="0.35">
      <c r="A252" s="2">
        <v>212135</v>
      </c>
      <c r="B252" s="2" t="s">
        <v>343</v>
      </c>
      <c r="C252" s="2"/>
      <c r="D252" s="2"/>
      <c r="E252" s="2"/>
      <c r="F252" s="2"/>
      <c r="G252" s="2"/>
      <c r="H252" s="2"/>
      <c r="I252" s="2"/>
      <c r="J252" s="2">
        <v>1</v>
      </c>
      <c r="K252" s="2"/>
      <c r="L252" s="2">
        <v>1</v>
      </c>
      <c r="M252" s="2">
        <v>2</v>
      </c>
      <c r="N252" s="2">
        <v>4</v>
      </c>
    </row>
    <row r="253" spans="1:14" x14ac:dyDescent="0.35">
      <c r="A253" s="2">
        <v>553907</v>
      </c>
      <c r="B253" s="2" t="s">
        <v>344</v>
      </c>
      <c r="C253" s="2"/>
      <c r="D253" s="2"/>
      <c r="E253" s="2"/>
      <c r="F253" s="2"/>
      <c r="G253" s="2">
        <v>1</v>
      </c>
      <c r="H253" s="2"/>
      <c r="I253" s="2"/>
      <c r="J253" s="2">
        <v>1</v>
      </c>
      <c r="K253" s="2"/>
      <c r="L253" s="2"/>
      <c r="M253" s="2"/>
      <c r="N253" s="2">
        <v>2</v>
      </c>
    </row>
    <row r="254" spans="1:14" x14ac:dyDescent="0.35">
      <c r="A254" s="2">
        <v>553943</v>
      </c>
      <c r="B254" s="2" t="s">
        <v>345</v>
      </c>
      <c r="C254" s="2"/>
      <c r="D254" s="2"/>
      <c r="E254" s="2"/>
      <c r="F254" s="2"/>
      <c r="G254" s="2"/>
      <c r="H254" s="2"/>
      <c r="I254" s="2"/>
      <c r="J254" s="2">
        <v>1</v>
      </c>
      <c r="K254" s="2">
        <v>1</v>
      </c>
      <c r="L254" s="2"/>
      <c r="M254" s="2"/>
      <c r="N254" s="2">
        <v>2</v>
      </c>
    </row>
    <row r="255" spans="1:14" x14ac:dyDescent="0.35">
      <c r="A255" s="2">
        <v>338688</v>
      </c>
      <c r="B255" s="2" t="s">
        <v>346</v>
      </c>
      <c r="C255" s="2"/>
      <c r="D255" s="2"/>
      <c r="E255" s="2"/>
      <c r="F255" s="2"/>
      <c r="G255" s="2"/>
      <c r="H255" s="2"/>
      <c r="I255" s="2"/>
      <c r="J255" s="2"/>
      <c r="K255" s="2"/>
      <c r="L255" s="2">
        <v>1</v>
      </c>
      <c r="M255" s="2"/>
      <c r="N255" s="2">
        <v>1</v>
      </c>
    </row>
    <row r="256" spans="1:14" x14ac:dyDescent="0.35">
      <c r="A256" s="2" t="s">
        <v>105</v>
      </c>
      <c r="B256" s="2"/>
      <c r="C256" s="2">
        <v>1207113</v>
      </c>
      <c r="D256" s="2">
        <v>1838059</v>
      </c>
      <c r="E256" s="2">
        <v>1922469</v>
      </c>
      <c r="F256" s="2">
        <v>1483165</v>
      </c>
      <c r="G256" s="2">
        <v>1234504</v>
      </c>
      <c r="H256" s="2">
        <v>1098625</v>
      </c>
      <c r="I256" s="2">
        <v>1963561</v>
      </c>
      <c r="J256" s="2">
        <v>7683515</v>
      </c>
      <c r="K256" s="2">
        <v>3660742</v>
      </c>
      <c r="L256" s="2">
        <v>2461296</v>
      </c>
      <c r="M256" s="2">
        <v>2141881</v>
      </c>
      <c r="N256" s="2">
        <v>26694930</v>
      </c>
    </row>
  </sheetData>
  <sortState xmlns:xlrd2="http://schemas.microsoft.com/office/spreadsheetml/2017/richdata2" ref="A2:N259">
    <sortCondition descending="1" ref="C1:C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MoM Brand Wise</vt:lpstr>
      <vt:lpstr>Melo</vt:lpstr>
      <vt:lpstr>Sids span</vt:lpstr>
      <vt:lpstr>MoM Manager Wise</vt:lpstr>
      <vt:lpstr>Melo Automated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Bera, Anirban</dc:creator>
  <cp:lastModifiedBy>BERA, ANIRBAN</cp:lastModifiedBy>
  <dcterms:created xsi:type="dcterms:W3CDTF">2025-04-01T18:15:06Z</dcterms:created>
  <dcterms:modified xsi:type="dcterms:W3CDTF">2025-11-20T16:39:59Z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2025-10-31T07:04:04Z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1d688452-0de6-4842-97fd-313cd8879862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